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drichvalue.xml" ContentType="application/vnd.ms-excel.rdrichvalue+xml"/>
  <Override PartName="/xl/richData/richValueRel.xml" ContentType="application/vnd.ms-excel.richvaluerel+xml"/>
  <Override PartName="/xl/richData/rdRichValueTypes.xml" ContentType="application/vnd.ms-excel.rdrichvaluetypes+xml"/>
  <Override PartName="/xl/richData/rdrichvaluestructure.xml" ContentType="application/vnd.ms-excel.rdrichvaluestruc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hidePivotFieldList="1"/>
  <mc:AlternateContent xmlns:mc="http://schemas.openxmlformats.org/markup-compatibility/2006">
    <mc:Choice Requires="x15">
      <x15ac:absPath xmlns:x15ac="http://schemas.microsoft.com/office/spreadsheetml/2010/11/ac" url="C:\Users\Thejaswini Shetty\Documents\Documents\Excel\"/>
    </mc:Choice>
  </mc:AlternateContent>
  <xr:revisionPtr revIDLastSave="0" documentId="13_ncr:1_{9AAD3F64-32F3-41C9-968A-EA52D598A658}" xr6:coauthVersionLast="47" xr6:coauthVersionMax="47" xr10:uidLastSave="{00000000-0000-0000-0000-000000000000}"/>
  <bookViews>
    <workbookView xWindow="-120" yWindow="-120" windowWidth="20730" windowHeight="11040" activeTab="2" xr2:uid="{26D4546B-D2A1-4444-8EAF-A6228F96F0C1}"/>
  </bookViews>
  <sheets>
    <sheet name="Pivot" sheetId="6" r:id="rId1"/>
    <sheet name="Data" sheetId="2" r:id="rId2"/>
    <sheet name="Call Centre Report" sheetId="7" r:id="rId3"/>
    <sheet name="Assets" sheetId="4" r:id="rId4"/>
  </sheets>
  <definedNames>
    <definedName name="_xlnm._FilterDatabase" localSheetId="1" hidden="1">Data!$B$3:$H$1003</definedName>
    <definedName name="_xlcn.WorksheetConnection_sampledataexcelportfolioproject1.xlsxcalls1" hidden="1">calls[]</definedName>
    <definedName name="_xlcn.WorksheetConnection_sampledataexcelportfolioproject1.xlsxcustomers1" hidden="1">customers[]</definedName>
    <definedName name="Slicer_Representative">#N/A</definedName>
  </definedNames>
  <calcPr calcId="191029"/>
  <pivotCaches>
    <pivotCache cacheId="107" r:id="rId5"/>
    <pivotCache cacheId="212" r:id="rId6"/>
    <pivotCache cacheId="291" r:id="rId7"/>
    <pivotCache cacheId="530" r:id="rId8"/>
    <pivotCache cacheId="608" r:id="rId9"/>
    <pivotCache cacheId="611" r:id="rId10"/>
    <pivotCache cacheId="614" r:id="rId11"/>
    <pivotCache cacheId="617" r:id="rId12"/>
    <pivotCache cacheId="620" r:id="rId13"/>
  </pivotCaches>
  <extLst>
    <ext xmlns:x14="http://schemas.microsoft.com/office/spreadsheetml/2009/9/main" uri="{876F7934-8845-4945-9796-88D515C7AA90}">
      <x14:pivotCaches>
        <pivotCache cacheId="100"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lls" name="calls" connection="WorksheetConnection_sample-data-excel-portfolio-project (1).xlsx!calls"/>
          <x15:modelTable id="customers" name="customers" connection="WorksheetConnection_sample-data-excel-portfolio-project (1).xlsx!customer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Lst>
</workbook>
</file>

<file path=xl/calcChain.xml><?xml version="1.0" encoding="utf-8"?>
<calcChain xmlns="http://schemas.openxmlformats.org/spreadsheetml/2006/main">
  <c r="W18" i="7" l="1"/>
  <c r="V18" i="7"/>
  <c r="U18" i="7"/>
  <c r="T18" i="7"/>
  <c r="S18" i="7"/>
  <c r="R19" i="7"/>
  <c r="R20" i="7"/>
  <c r="S20" i="7"/>
  <c r="T20" i="7"/>
  <c r="U20" i="7"/>
  <c r="V20" i="7"/>
  <c r="W20" i="7"/>
  <c r="X20" i="7"/>
  <c r="R21" i="7"/>
  <c r="S21" i="7"/>
  <c r="T21" i="7"/>
  <c r="U21" i="7"/>
  <c r="V21" i="7"/>
  <c r="W21" i="7"/>
  <c r="X21" i="7"/>
  <c r="R22" i="7"/>
  <c r="S22" i="7"/>
  <c r="T22" i="7"/>
  <c r="U22" i="7"/>
  <c r="V22" i="7"/>
  <c r="W22" i="7"/>
  <c r="X22" i="7"/>
  <c r="R23" i="7"/>
  <c r="S23" i="7"/>
  <c r="T23" i="7"/>
  <c r="U23" i="7"/>
  <c r="V23" i="7"/>
  <c r="W23" i="7"/>
  <c r="X23" i="7"/>
  <c r="R24" i="7"/>
  <c r="R25" i="7"/>
  <c r="S25" i="7"/>
  <c r="T25" i="7"/>
  <c r="U25" i="7"/>
  <c r="V25" i="7"/>
  <c r="W25" i="7"/>
  <c r="X25" i="7"/>
  <c r="R26" i="7"/>
  <c r="S26" i="7"/>
  <c r="T26" i="7"/>
  <c r="U26" i="7"/>
  <c r="V26" i="7"/>
  <c r="W26" i="7"/>
  <c r="X26" i="7"/>
  <c r="R27" i="7"/>
  <c r="S27" i="7"/>
  <c r="T27" i="7"/>
  <c r="U27" i="7"/>
  <c r="V27" i="7"/>
  <c r="W27" i="7"/>
  <c r="X27" i="7"/>
  <c r="R28" i="7"/>
  <c r="S28" i="7"/>
  <c r="T28" i="7"/>
  <c r="U28" i="7"/>
  <c r="V28" i="7"/>
  <c r="W28" i="7"/>
  <c r="X28" i="7"/>
  <c r="R29" i="7"/>
  <c r="S29" i="7"/>
  <c r="T29" i="7"/>
  <c r="U29" i="7"/>
  <c r="V29" i="7"/>
  <c r="W29" i="7"/>
  <c r="X29" i="7"/>
  <c r="R30" i="7"/>
  <c r="S30" i="7"/>
  <c r="T30" i="7"/>
  <c r="U30" i="7"/>
  <c r="V30" i="7"/>
  <c r="W30" i="7"/>
  <c r="X30" i="7"/>
  <c r="R31" i="7"/>
  <c r="R32" i="7"/>
  <c r="S32" i="7"/>
  <c r="T32" i="7"/>
  <c r="U32" i="7"/>
  <c r="V32" i="7"/>
  <c r="W32" i="7"/>
  <c r="X32" i="7"/>
  <c r="R33" i="7"/>
  <c r="S33" i="7"/>
  <c r="T33" i="7"/>
  <c r="U33" i="7"/>
  <c r="V33" i="7"/>
  <c r="W33" i="7"/>
  <c r="X33" i="7"/>
  <c r="R34" i="7"/>
  <c r="S34" i="7"/>
  <c r="T34" i="7"/>
  <c r="U34" i="7"/>
  <c r="V34" i="7"/>
  <c r="W34" i="7"/>
  <c r="X34" i="7"/>
  <c r="R35" i="7"/>
  <c r="S35" i="7"/>
  <c r="T35" i="7"/>
  <c r="U35" i="7"/>
  <c r="V35" i="7"/>
  <c r="W35" i="7"/>
  <c r="X35" i="7"/>
  <c r="R36" i="7"/>
  <c r="S36" i="7"/>
  <c r="T36" i="7"/>
  <c r="U36" i="7"/>
  <c r="V36" i="7"/>
  <c r="W36" i="7"/>
  <c r="X36" i="7"/>
  <c r="I40" i="6"/>
  <c r="G44" i="6"/>
  <c r="G45" i="6"/>
  <c r="G46" i="6"/>
  <c r="G47" i="6"/>
  <c r="G48" i="6"/>
  <c r="G43" i="6"/>
  <c r="F44" i="6"/>
  <c r="F45" i="6"/>
  <c r="F46" i="6"/>
  <c r="F47" i="6"/>
  <c r="F48" i="6"/>
  <c r="F43" i="6"/>
  <c r="E44" i="6"/>
  <c r="E45" i="6"/>
  <c r="E46" i="6"/>
  <c r="E47" i="6"/>
  <c r="E48" i="6"/>
  <c r="E43" i="6"/>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45" i="6" l="1"/>
  <c r="I46" i="6"/>
  <c r="I47" i="6"/>
  <c r="I48" i="6"/>
  <c r="I44" i="6"/>
  <c r="I43" i="6"/>
  <c r="H44" i="6"/>
  <c r="H45" i="6"/>
  <c r="H46" i="6"/>
  <c r="H47" i="6"/>
  <c r="H48" i="6"/>
  <c r="H43"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DD247E9-EE64-4B07-9A95-007E0208472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4AB89EF-250B-4953-8224-EF5944E7812B}" name="WorksheetConnection_sample-data-excel-portfolio-project (1).xlsx!calls" type="102" refreshedVersion="8" minRefreshableVersion="5">
    <extLst>
      <ext xmlns:x15="http://schemas.microsoft.com/office/spreadsheetml/2010/11/main" uri="{DE250136-89BD-433C-8126-D09CA5730AF9}">
        <x15:connection id="calls" autoDelete="1">
          <x15:rangePr sourceName="_xlcn.WorksheetConnection_sampledataexcelportfolioproject1.xlsxcalls1"/>
        </x15:connection>
      </ext>
    </extLst>
  </connection>
  <connection id="3" xr16:uid="{935F8966-C682-4DF8-8043-1598EA6BA485}" name="WorksheetConnection_sample-data-excel-portfolio-project (1).xlsx!customers" type="102" refreshedVersion="8" minRefreshableVersion="5">
    <extLst>
      <ext xmlns:x15="http://schemas.microsoft.com/office/spreadsheetml/2010/11/main" uri="{DE250136-89BD-433C-8126-D09CA5730AF9}">
        <x15:connection id="customers">
          <x15:rangePr sourceName="_xlcn.WorksheetConnection_sampledataexcelportfolioproject1.xlsxcustomers1"/>
        </x15:connection>
      </ext>
    </extLst>
  </connection>
</connections>
</file>

<file path=xl/metadata.xml><?xml version="1.0" encoding="utf-8"?>
<metadata xmlns="http://schemas.openxmlformats.org/spreadsheetml/2006/main">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xmlns:xda="http://schemas.microsoft.com/office/spreadsheetml/2017/dynamicarray" uri="{bdbb8cdc-fa1e-496e-a857-3c3f30c029c3}">
          <xda:dynamicArrayProperties fDynamic="1" fCollapsed="0"/>
        </ext>
      </extLst>
    </bk>
  </futureMetadata>
  <futureMetadata name="XLRICHVALUE" count="5">
    <bk>
      <extLst>
        <ext xmlns:xlrd="http://schemas.microsoft.com/office/spreadsheetml/2017/richdata" uri="{3e2802c4-a4d2-4d8b-9148-e3be6c30e623}">
          <xlrd:rvb i="0"/>
        </ext>
      </extLst>
    </bk>
    <bk>
      <extLst>
        <ext xmlns:xlrd="http://schemas.microsoft.com/office/spreadsheetml/2017/richdata" uri="{3e2802c4-a4d2-4d8b-9148-e3be6c30e623}">
          <xlrd:rvb i="1"/>
        </ext>
      </extLst>
    </bk>
    <bk>
      <extLst>
        <ext xmlns:xlrd="http://schemas.microsoft.com/office/spreadsheetml/2017/richdata" uri="{3e2802c4-a4d2-4d8b-9148-e3be6c30e623}">
          <xlrd:rvb i="2"/>
        </ext>
      </extLst>
    </bk>
    <bk>
      <extLst>
        <ext xmlns:xlrd="http://schemas.microsoft.com/office/spreadsheetml/2017/richdata" uri="{3e2802c4-a4d2-4d8b-9148-e3be6c30e623}">
          <xlrd:rvb i="3"/>
        </ext>
      </extLst>
    </bk>
    <bk>
      <extLst>
        <ext xmlns:xlrd="http://schemas.microsoft.com/office/spreadsheetml/2017/richdata" uri="{3e2802c4-a4d2-4d8b-9148-e3be6c30e623}">
          <xlrd:rvb i="4"/>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<sst xmlns="http://schemas.openxmlformats.org/spreadsheetml/2006/main" count="3163" uniqueCount="1077">
  <si>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</si>
  <si>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</si>
  <si>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</si>
  <si>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</si>
  <si>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</si>
  <si>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</si>
  <si>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</si>
  <si>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</si>
  <si>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</si>
  <si>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</si>
  <si>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</si>
  <si>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</si>
  <si>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</si>
  <si>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</si>
  <si>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</si>
  <si>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</si>
  <si>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</si>
  <si>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</si>
  <si>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</si>
  <si>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</si>
  <si>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</si>
  <si>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</si>
  <si>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</si>
  <si>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</si>
  <si>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</si>
  <si>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</si>
  <si>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</si>
  <si>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</si>
  <si>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</si>
  <si>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</si>
  <si>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</si>
  <si>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</si>
  <si>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</si>
  <si>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</si>
  <si>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</si>
  <si>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</si>
  <si>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</si>
  <si>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</si>
  <si>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</si>
  <si>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</si>
  <si>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</si>
  <si>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</si>
  <si>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</si>
  <si>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</si>
  <si>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</si>
  <si>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</si>
  <si>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</si>
  <si>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</si>
  <si>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</si>
  <si>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</si>
  <si>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</si>
  <si>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</si>
  <si>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</si>
  <si>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</si>
  <si>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</si>
  <si>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</si>
  <si>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</si>
  <si>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</si>
  <si>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</si>
  <si>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</si>
  <si>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</si>
  <si>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</si>
  <si>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</si>
  <si>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</si>
  <si>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</si>
  <si>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</si>
  <si>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</si>
  <si>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</si>
  <si>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</si>
  <si>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</si>
  <si>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</si>
  <si>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</si>
  <si>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</si>
  <si>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</si>
  <si>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</si>
  <si>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</si>
  <si>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</si>
  <si>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</si>
  <si>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</si>
  <si>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</si>
  <si>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</si>
  <si>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</si>
  <si>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</si>
  <si>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</si>
  <si>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</si>
  <si>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</si>
  <si>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</si>
  <si>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</si>
  <si>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</si>
  <si>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</si>
  <si>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</si>
  <si>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</si>
  <si>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</si>
  <si>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</si>
  <si>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</si>
  <si>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</si>
  <si>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</si>
  <si>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</si>
  <si>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</si>
  <si>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</si>
  <si>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</si>
  <si>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</si>
  <si>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</si>
  <si>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</si>
  <si>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</si>
  <si>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</si>
  <si>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</si>
  <si>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</si>
  <si>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</si>
  <si>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</si>
  <si>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</si>
  <si>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</si>
  <si>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</si>
  <si>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</si>
  <si>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</si>
  <si>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</si>
  <si>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</si>
  <si>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</si>
  <si>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</si>
  <si>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</si>
  <si>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</si>
  <si>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</si>
  <si>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</si>
  <si>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</si>
  <si>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</si>
  <si>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</si>
  <si>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</si>
  <si>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</si>
  <si>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</si>
  <si>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</si>
  <si>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</si>
  <si>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</si>
  <si>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</si>
  <si>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</si>
  <si>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</si>
  <si>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</si>
  <si>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</si>
  <si>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</si>
  <si>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</si>
  <si>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</si>
  <si>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</si>
  <si>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</si>
  <si>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</si>
  <si>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</si>
  <si>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</si>
  <si>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</si>
  <si>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</si>
  <si>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</si>
  <si>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</si>
  <si>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</si>
  <si>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</si>
  <si>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</si>
  <si>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</si>
  <si>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</si>
  <si>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</si>
  <si>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</si>
  <si>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</si>
  <si>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</si>
  <si>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</si>
  <si>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</si>
  <si>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</si>
  <si>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</si>
  <si>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</si>
  <si>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</si>
  <si>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</si>
  <si>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</si>
  <si>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</si>
  <si>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</si>
  <si>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</si>
  <si>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</si>
  <si>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</si>
  <si>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</si>
  <si>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</si>
  <si>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</si>
  <si>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</si>
  <si>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</si>
  <si>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</si>
  <si>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</si>
  <si>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</si>
  <si>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</si>
  <si>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</si>
  <si>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</si>
  <si>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</si>
  <si>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</si>
  <si>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</si>
  <si>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</si>
  <si>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</si>
  <si>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</si>
  <si>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</si>
  <si>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</si>
  <si>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</si>
  <si>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</si>
  <si>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</si>
  <si>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</si>
  <si>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</si>
  <si>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</si>
  <si>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</si>
  <si>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</si>
  <si>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</si>
  <si>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</si>
  <si>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</si>
  <si>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</si>
  <si>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</si>
  <si>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</si>
  <si>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</si>
  <si>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</si>
  <si>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</si>
  <si>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</si>
  <si>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</si>
  <si>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</si>
  <si>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</si>
  <si>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</si>
  <si>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</si>
  <si>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</si>
  <si>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</si>
  <si>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</si>
  <si>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</si>
  <si>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</si>
  <si>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</si>
  <si>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</si>
  <si>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</si>
  <si>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</si>
  <si>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</si>
  <si>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</si>
  <si>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</si>
  <si>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</si>
  <si>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</si>
  <si>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</si>
  <si>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</si>
  <si>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</si>
  <si>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</si>
  <si>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</si>
  <si>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</si>
  <si>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</si>
  <si>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</si>
  <si>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</si>
  <si>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</si>
  <si>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</si>
  <si>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</si>
  <si>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</si>
  <si>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</si>
  <si>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</si>
  <si>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</si>
  <si>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</si>
  <si>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</si>
  <si>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</si>
  <si>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</si>
  <si>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</si>
  <si>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</si>
  <si>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</si>
  <si>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</si>
  <si>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</si>
  <si>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</si>
  <si>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</si>
  <si>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</si>
  <si>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</si>
  <si>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</si>
  <si>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</si>
  <si>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</si>
  <si>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</si>
  <si>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</si>
  <si>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</si>
  <si>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</si>
  <si>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</si>
  <si>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</si>
  <si>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</si>
  <si>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</si>
  <si>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</si>
  <si>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</si>
  <si>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</si>
  <si>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</si>
  <si>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</si>
  <si>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</si>
  <si>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</si>
  <si>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</si>
  <si>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</si>
  <si>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</si>
  <si>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</si>
  <si>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</si>
  <si>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</si>
  <si>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</si>
  <si>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</si>
  <si>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</si>
  <si>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</si>
  <si>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</si>
  <si>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</si>
  <si>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</si>
  <si>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</si>
  <si>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</si>
  <si>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</si>
  <si>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</si>
  <si>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</si>
  <si>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</si>
  <si>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</si>
  <si>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</si>
  <si>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</si>
  <si>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</si>
  <si>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</si>
  <si>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</si>
  <si>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</si>
  <si>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</si>
  <si>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</si>
  <si>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</si>
  <si>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</si>
  <si>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</si>
  <si>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</si>
  <si>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</si>
  <si>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</si>
  <si>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</si>
  <si>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</si>
  <si>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</si>
  <si>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</si>
  <si>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</si>
  <si>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</si>
  <si>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</si>
  <si>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</si>
  <si>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</si>
  <si>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</si>
  <si>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</si>
  <si>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</si>
  <si>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</si>
  <si>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</si>
  <si>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</si>
  <si>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</si>
  <si>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</si>
  <si>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</si>
  <si>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</si>
  <si>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</si>
  <si>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</si>
  <si>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</si>
  <si>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</si>
  <si>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</si>
  <si>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</si>
  <si>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</si>
  <si>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</si>
  <si>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</si>
  <si>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</si>
  <si>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</si>
  <si>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</si>
  <si>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</si>
  <si>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</si>
  <si>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</si>
  <si>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</si>
  <si>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</si>
  <si>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</si>
  <si>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</si>
  <si>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</si>
  <si>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</si>
  <si>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</si>
  <si>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</si>
  <si>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</si>
  <si>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</si>
  <si>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</si>
  <si>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</si>
  <si>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</si>
  <si>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</si>
  <si>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</si>
  <si>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</si>
  <si>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</si>
  <si>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</si>
  <si>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</si>
  <si>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</si>
  <si>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</si>
  <si>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</si>
  <si>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</si>
  <si>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</si>
  <si>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</si>
  <si>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</si>
  <si>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</si>
  <si>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</si>
  <si>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</si>
  <si>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</si>
  <si>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</si>
  <si>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</si>
  <si>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</si>
  <si>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</si>
  <si>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</si>
  <si>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</si>
  <si>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</si>
  <si>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</si>
  <si>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</si>
  <si>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</si>
  <si>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</si>
  <si>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</si>
  <si>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</si>
  <si>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</si>
  <si>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</si>
  <si>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</si>
  <si>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</si>
  <si>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</si>
  <si>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</si>
  <si>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</si>
  <si>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</si>
  <si>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</si>
  <si>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</si>
  <si>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</si>
  <si>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</si>
  <si>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</si>
  <si>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</si>
  <si>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</si>
  <si>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</si>
  <si>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</si>
  <si>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</si>
  <si>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</si>
  <si>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</si>
  <si>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</si>
  <si>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</si>
  <si>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</si>
  <si>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</si>
  <si>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</si>
  <si>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</si>
  <si>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</si>
  <si>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</si>
  <si>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</si>
  <si>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</si>
  <si>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</si>
  <si>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</si>
  <si>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</si>
  <si>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</si>
  <si>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</si>
  <si>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</si>
  <si>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</si>
  <si>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</si>
  <si>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</si>
  <si>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</si>
  <si>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</si>
  <si>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</si>
  <si>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</si>
  <si>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</si>
  <si>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</si>
  <si>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</si>
  <si>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</si>
  <si>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</si>
  <si>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</si>
  <si>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</si>
  <si>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</si>
  <si>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</si>
  <si>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</si>
  <si>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</si>
  <si>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</si>
  <si>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</si>
  <si>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</si>
  <si>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</si>
  <si>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</si>
  <si>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</si>
  <si>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</si>
  <si>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</si>
  <si>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</si>
  <si>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</si>
  <si>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</si>
  <si>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</si>
  <si>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</si>
  <si>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</si>
  <si>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</si>
  <si>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</si>
  <si>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</si>
  <si>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</si>
  <si>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</si>
  <si>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</si>
  <si>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</si>
  <si>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</si>
  <si>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</si>
  <si>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</si>
  <si>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</si>
  <si>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</si>
  <si>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</si>
  <si>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</si>
  <si>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</si>
  <si>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</si>
  <si>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</si>
  <si>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</si>
  <si>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</si>
  <si>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</si>
  <si>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</si>
  <si>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</si>
  <si>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</si>
  <si>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</si>
  <si>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</si>
  <si>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</si>
  <si>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</si>
  <si>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</si>
  <si>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</si>
  <si>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</si>
  <si>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</si>
  <si>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</si>
  <si>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</si>
  <si>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</si>
  <si>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</si>
  <si>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</si>
  <si>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</si>
  <si>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</si>
  <si>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</si>
  <si>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</si>
  <si>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</si>
  <si>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</si>
  <si>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</si>
  <si>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</si>
  <si>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</si>
  <si>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</si>
  <si>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</si>
  <si>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</si>
  <si>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</si>
  <si>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</si>
  <si>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</si>
  <si>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</si>
  <si>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</si>
  <si>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</si>
  <si>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</si>
  <si>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</si>
  <si>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</si>
  <si>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</si>
  <si>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</si>
  <si>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</si>
  <si>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</si>
  <si>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</si>
  <si>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</si>
  <si>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</si>
  <si>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</si>
  <si>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</si>
  <si>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</si>
  <si>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</si>
  <si>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</si>
  <si>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</si>
  <si>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</si>
  <si>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</si>
  <si>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</si>
  <si>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</si>
  <si>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</si>
  <si>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</si>
  <si>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</si>
  <si>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</si>
  <si>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</si>
  <si>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</si>
  <si>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</si>
  <si>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</si>
  <si>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</si>
  <si>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</si>
  <si>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</si>
  <si>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</si>
  <si>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</si>
  <si>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</si>
  <si>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</si>
  <si>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</si>
  <si>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</si>
  <si>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</si>
  <si>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</si>
  <si>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</si>
  <si>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</si>
  <si>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</si>
  <si>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</si>
  <si>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</si>
  <si>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</si>
  <si>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</si>
  <si>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</si>
  <si>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</si>
  <si>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</si>
  <si>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</si>
  <si>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</si>
  <si>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</si>
  <si>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</si>
  <si>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</si>
  <si>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</si>
  <si>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</si>
  <si>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</si>
  <si>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</si>
  <si>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</si>
  <si>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</si>
  <si>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</si>
  <si>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</si>
  <si>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</si>
  <si>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</si>
  <si>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</si>
  <si>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</si>
  <si>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</si>
  <si>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</si>
  <si>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</si>
  <si>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</si>
  <si>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</si>
  <si>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</si>
  <si>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</si>
  <si>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</si>
  <si>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</si>
  <si>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</si>
  <si>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</si>
  <si>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</si>
  <si>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</si>
  <si>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</si>
  <si>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</si>
  <si>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</si>
  <si>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</si>
  <si>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</si>
  <si>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</si>
  <si>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</si>
  <si>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</si>
  <si>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</si>
  <si>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</si>
  <si>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</si>
  <si>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</si>
  <si>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</si>
  <si>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</si>
  <si>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</si>
  <si>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</si>
  <si>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</si>
  <si>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</si>
  <si>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</si>
  <si>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</si>
  <si>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</si>
  <si>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</si>
  <si>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</si>
  <si>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</si>
  <si>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</si>
  <si>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</si>
  <si>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</si>
  <si>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</si>
  <si>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</si>
  <si>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</si>
  <si>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</si>
  <si>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</si>
  <si>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</si>
  <si>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</si>
  <si>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</si>
  <si>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</si>
  <si>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</si>
  <si>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</si>
  <si>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</si>
  <si>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</si>
  <si>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</si>
  <si>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</si>
  <si>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</si>
  <si>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</si>
  <si>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</si>
  <si>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</si>
  <si>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</si>
  <si>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</si>
  <si>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</si>
  <si>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</si>
  <si>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</si>
  <si>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</si>
  <si>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</si>
  <si>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</si>
  <si>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</si>
  <si>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</si>
  <si>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</si>
  <si>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</si>
  <si>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</si>
  <si>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</si>
  <si>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</si>
  <si>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</si>
  <si>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</si>
  <si>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</si>
  <si>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</si>
  <si>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</si>
  <si>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</si>
  <si>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</si>
  <si>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</si>
  <si>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</si>
  <si>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</si>
  <si>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</si>
  <si>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</si>
  <si>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</si>
  <si>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</si>
  <si>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</si>
  <si>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</si>
  <si>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</si>
  <si>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</si>
  <si>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</si>
  <si>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</si>
  <si>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</si>
  <si>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</si>
  <si>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</si>
  <si>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</si>
  <si>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</si>
  <si>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</si>
  <si>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</si>
  <si>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</si>
  <si>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</si>
  <si>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</si>
  <si>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</si>
  <si>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</si>
  <si>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</si>
  <si>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</si>
  <si>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</si>
  <si>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</si>
  <si>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</si>
  <si>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</si>
  <si>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</si>
  <si>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</si>
  <si>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</si>
  <si>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</si>
  <si>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</si>
  <si>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</si>
  <si>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</si>
  <si>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</si>
  <si>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</si>
  <si>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</si>
  <si>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</si>
  <si>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</si>
  <si>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</si>
  <si>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</si>
  <si>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</si>
  <si>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</si>
  <si>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</si>
  <si>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</si>
  <si>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</si>
  <si>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</si>
  <si>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</si>
  <si>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</si>
  <si>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</si>
  <si>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</si>
  <si>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</si>
  <si>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</si>
  <si>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</si>
  <si>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</si>
  <si>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</si>
  <si>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</si>
  <si>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</si>
  <si>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</si>
  <si>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</si>
  <si>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</si>
  <si>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</si>
  <si>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</si>
  <si>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</si>
  <si>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</si>
  <si>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</si>
  <si>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</si>
  <si>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</si>
  <si>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</si>
  <si>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</si>
  <si>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</si>
  <si>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</si>
  <si>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</si>
  <si>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</si>
  <si>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</si>
  <si>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</si>
  <si>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</si>
  <si>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</si>
  <si>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</si>
  <si>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</si>
  <si>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</si>
  <si>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</si>
  <si>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</si>
  <si>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</si>
  <si>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</si>
  <si>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</si>
  <si>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</si>
  <si>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</si>
  <si>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</si>
  <si>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</si>
  <si>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</si>
  <si>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</si>
  <si>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</si>
  <si>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</si>
  <si>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</si>
  <si>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</si>
  <si>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</si>
  <si>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</si>
  <si>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</si>
  <si>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</si>
  <si>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</si>
  <si>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</si>
  <si>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</si>
  <si>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</si>
  <si>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</si>
  <si>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</si>
  <si>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</si>
  <si>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</si>
  <si>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</si>
  <si>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</si>
  <si>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</si>
  <si>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</si>
  <si>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</si>
  <si>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</si>
  <si>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</si>
  <si>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</si>
  <si>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</si>
  <si>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</si>
  <si>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</si>
  <si>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</si>
  <si>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</si>
  <si>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</si>
  <si>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</si>
  <si>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</si>
  <si>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</si>
  <si>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</si>
  <si>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</si>
  <si>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</si>
  <si>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</si>
  <si>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</si>
  <si>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</si>
  <si>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</si>
  <si>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</si>
  <si>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</si>
  <si>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</si>
  <si>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</si>
  <si>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</si>
  <si>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</si>
  <si>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</si>
  <si>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</si>
  <si>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</si>
  <si>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</si>
  <si>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</si>
  <si>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</si>
  <si>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</si>
  <si>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</si>
  <si>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</si>
  <si>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</si>
  <si>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</si>
  <si>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</si>
  <si>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</si>
  <si>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</si>
  <si>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</si>
  <si>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</si>
  <si>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</si>
  <si>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</si>
  <si>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</si>
  <si>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</si>
  <si>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</si>
  <si>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</si>
  <si>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</si>
  <si>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</si>
  <si>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</si>
  <si>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</si>
  <si>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</si>
  <si>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</si>
  <si>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</si>
  <si>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</si>
  <si>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</si>
  <si>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</si>
  <si>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</si>
  <si>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</si>
  <si>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</si>
  <si>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</si>
  <si>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</si>
  <si>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</si>
  <si>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</si>
  <si>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</si>
  <si>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</si>
  <si>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</si>
  <si>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</si>
  <si>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</si>
  <si>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</si>
  <si>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</si>
  <si>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</si>
  <si>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</si>
  <si>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</si>
  <si>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</si>
  <si>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</si>
  <si>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</si>
  <si>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</si>
  <si>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</si>
  <si>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</si>
  <si>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</si>
  <si>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</si>
  <si>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</si>
  <si>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</si>
  <si>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</si>
  <si>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</si>
  <si>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</si>
  <si>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</si>
  <si>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</si>
  <si>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</si>
  <si>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</si>
  <si>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</si>
  <si>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</si>
  <si>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</si>
  <si>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</si>
  <si>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</si>
  <si>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</si>
  <si>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</si>
  <si>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</si>
  <si>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</si>
  <si>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</si>
  <si>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</si>
  <si>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</si>
  <si>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</si>
  <si>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</si>
  <si>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</si>
  <si>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</si>
  <si>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</si>
  <si>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</si>
  <si>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</si>
  <si>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</si>
  <si>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</si>
  <si>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</si>
  <si>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</si>
  <si>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</si>
  <si>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</si>
  <si>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</si>
  <si>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</si>
  <si>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</si>
  <si>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</si>
  <si>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</si>
  <si>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</si>
  <si>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</si>
  <si>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</si>
  <si>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</si>
  <si>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</si>
  <si>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</si>
  <si>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</si>
  <si>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</si>
  <si>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</si>
  <si>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</si>
  <si>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</si>
  <si>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</si>
  <si>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</si>
  <si>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</si>
  <si>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</si>
  <si>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</si>
  <si>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</si>
  <si>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</si>
  <si>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</si>
  <si>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</si>
  <si>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</si>
  <si>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</si>
  <si>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</si>
  <si>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</si>
  <si>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</si>
  <si>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</si>
  <si>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</si>
  <si>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</si>
  <si>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</si>
  <si>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</si>
  <si>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</si>
  <si>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</si>
  <si>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</si>
  <si>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</si>
  <si>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</si>
  <si>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</si>
  <si>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</si>
  <si>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</si>
  <si>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</si>
  <si>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</si>
  <si>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</si>
  <si>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</si>
  <si>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</si>
  <si>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</si>
  <si>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</si>
  <si>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</si>
  <si>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</si>
  <si>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</si>
  <si>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</si>
  <si>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</si>
  <si>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</si>
  <si>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</si>
  <si>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</si>
  <si>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</si>
  <si>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</si>
  <si>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</si>
  <si>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</si>
  <si>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</si>
  <si>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</si>
  <si>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</si>
  <si>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</si>
  <si>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</si>
  <si>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</si>
  <si>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</si>
  <si>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</si>
  <si>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</si>
  <si>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</si>
  <si>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</si>
  <si>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</si>
  <si>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</si>
  <si>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</si>
  <si>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</si>
  <si>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</si>
  <si>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</si>
  <si>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</si>
  <si>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</si>
  <si>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</si>
  <si>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</si>
  <si>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</si>
  <si>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</si>
  <si>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</si>
  <si>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</si>
  <si>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</si>
  <si>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</si>
  <si>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</si>
  <si>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</si>
  <si>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</si>
  <si>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</si>
  <si>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</si>
  <si>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</si>
  <si>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</si>
  <si>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</si>
  <si>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</si>
  <si>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</si>
  <si>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</si>
  <si>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</si>
  <si>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</si>
  <si>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</si>
  <si>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</si>
  <si>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</si>
  <si>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</si>
  <si>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</si>
  <si>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</si>
  <si>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</si>
  <si>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</si>
  <si>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</si>
  <si>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</si>
  <si>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</si>
  <si>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</si>
  <si>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</si>
  <si>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</si>
  <si>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</si>
  <si>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</si>
  <si>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</si>
  <si>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</si>
  <si>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</si>
  <si>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</si>
  <si>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</si>
  <si>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</si>
  <si>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</si>
  <si>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</si>
  <si>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</si>
  <si>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</si>
  <si>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</si>
  <si>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</si>
  <si>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</si>
  <si>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</si>
  <si>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</si>
  <si>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</si>
  <si>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</si>
  <si>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</si>
  <si>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</si>
  <si>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</si>
  <si>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</si>
  <si>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</si>
  <si>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</si>
  <si>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</si>
  <si>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</si>
  <si>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</si>
  <si>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</si>
  <si>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</si>
  <si>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</si>
  <si>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</si>
  <si>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</si>
  <si>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</si>
  <si>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</si>
  <si>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</si>
  <si>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</si>
  <si>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</si>
  <si>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</si>
  <si>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</si>
  <si>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</si>
  <si>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AVG Rating</t>
  </si>
  <si>
    <t>5* Calls</t>
  </si>
  <si>
    <t>Total Duration</t>
  </si>
  <si>
    <t>Row Labels</t>
  </si>
  <si>
    <t>Grand Total</t>
  </si>
  <si>
    <t>Jan</t>
  </si>
  <si>
    <t>Feb</t>
  </si>
  <si>
    <t>Mar</t>
  </si>
  <si>
    <t>Apr</t>
  </si>
  <si>
    <t>May</t>
  </si>
  <si>
    <t>Jun</t>
  </si>
  <si>
    <t>Jul</t>
  </si>
  <si>
    <t>Aug</t>
  </si>
  <si>
    <t>Sep</t>
  </si>
  <si>
    <t>Oct</t>
  </si>
  <si>
    <t>Nov</t>
  </si>
  <si>
    <t>Dec</t>
  </si>
  <si>
    <t>Call Count2</t>
  </si>
  <si>
    <t>Wednesday</t>
  </si>
  <si>
    <t>Thursday</t>
  </si>
  <si>
    <t>Friday</t>
  </si>
  <si>
    <t>Saturday</t>
  </si>
  <si>
    <t>Sunday</t>
  </si>
  <si>
    <t>Monday</t>
  </si>
  <si>
    <t>Tuesday</t>
  </si>
  <si>
    <t>For Graphs</t>
  </si>
  <si>
    <t>Reps</t>
  </si>
  <si>
    <t>Amount</t>
  </si>
  <si>
    <t>Sel.Call</t>
  </si>
  <si>
    <t>Sel.Amount</t>
  </si>
  <si>
    <t>Selected Rep</t>
  </si>
  <si>
    <t>Column Labels</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</si>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</sst>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409]d\-mmm\-yy;@"/>
    <numFmt numFmtId="166" formatCode="\$#,##0;\-\$#,##0;\$#,##0"/>
    <numFmt numFmtId="167" formatCode="0.0"/>
    <numFmt numFmtId="168" formatCode="\$#,###.0,&quot;K&quot;"/>
    <numFmt numFmtId="169" formatCode="\$\,##.0,&quot;K&quot;"/>
    <numFmt numFmtId="171" formatCode="&quot;₹&quot;\ #,##0"/>
  </numFmts>
  <fonts count="7" x14ac:knownFonts="1">
    <font>
      <sz val="11"/>
      <color theme="1"/>
      <name val="Arial"/>
      <family val="2"/>
      <scheme val="minor"/>
    </font>
    <font>
      <b/>
      <sz val="11"/>
      <color theme="1"/>
      <name val="Arial"/>
      <family val="2"/>
      <scheme val="minor"/>
    </font>
    <font>
      <sz val="8"/>
      <name val="Arial"/>
      <family val="2"/>
      <scheme val="minor"/>
    </font>
    <font>
      <sz val="18"/>
      <color theme="1"/>
      <name val="Aptos ExtraBold"/>
      <family val="2"/>
    </font>
    <font>
      <sz val="11"/>
      <color theme="1"/>
      <name val="Arial"/>
      <family val="2"/>
      <scheme val="minor"/>
    </font>
    <font>
      <sz val="10"/>
      <color theme="1"/>
      <name val="Arial"/>
      <family val="2"/>
      <scheme val="minor"/>
    </font>
    <font>
      <b/>
      <sz val="10"/>
      <color theme="1"/>
      <name val="Arial"/>
      <family val="2"/>
      <scheme val="minor"/>
    </font>
  </fonts>
  <fills count="6">
    <fill>
      <patternFill patternType="none"/>
    </fill>
    <fill>
      <patternFill patternType="gray125"/>
    </fill>
    <fill>
      <patternFill patternType="solid">
        <fgColor theme="7"/>
        <bgColor indexed="64"/>
      </patternFill>
    </fill>
    <fill>
      <patternFill patternType="solid">
        <fgColor theme="0" tint="-0.14999847407452621"/>
        <bgColor indexed="64"/>
      </patternFill>
    </fill>
    <fill>
      <patternFill patternType="solid">
        <fgColor theme="8"/>
        <bgColor indexed="64"/>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0" tint="-0.14996795556505021"/>
      </left>
      <right/>
      <top style="thin">
        <color theme="0" tint="-0.14996795556505021"/>
      </top>
      <bottom/>
      <diagonal/>
    </border>
    <border>
      <left/>
      <right/>
      <top style="thin">
        <color theme="0" tint="-0.14996795556505021"/>
      </top>
      <bottom/>
      <diagonal/>
    </border>
    <border>
      <left/>
      <right style="thin">
        <color theme="0" tint="-0.14996795556505021"/>
      </right>
      <top style="thin">
        <color theme="0" tint="-0.14996795556505021"/>
      </top>
      <bottom/>
      <diagonal/>
    </border>
    <border>
      <left style="thin">
        <color theme="0" tint="-0.14996795556505021"/>
      </left>
      <right/>
      <top/>
      <bottom/>
      <diagonal/>
    </border>
    <border>
      <left/>
      <right style="thin">
        <color theme="0" tint="-0.14996795556505021"/>
      </right>
      <top/>
      <bottom/>
      <diagonal/>
    </border>
    <border>
      <left style="thin">
        <color theme="0" tint="-0.14996795556505021"/>
      </left>
      <right/>
      <top/>
      <bottom style="thin">
        <color theme="0" tint="-0.14996795556505021"/>
      </bottom>
      <diagonal/>
    </border>
    <border>
      <left/>
      <right/>
      <top/>
      <bottom style="thin">
        <color theme="0" tint="-0.14996795556505021"/>
      </bottom>
      <diagonal/>
    </border>
    <border>
      <left/>
      <right style="thin">
        <color theme="0" tint="-0.14996795556505021"/>
      </right>
      <top/>
      <bottom style="thin">
        <color theme="0" tint="-0.14996795556505021"/>
      </bottom>
      <diagonal/>
    </border>
  </borders>
  <cellStyleXfs count="2">
    <xf numFmtId="0" fontId="0" fillId="0" borderId="0"/>
    <xf numFmtId="9" fontId="4" fillId="0" borderId="0" applyFont="0" applyFill="0" applyBorder="0" applyAlignment="0" applyProtection="0"/>
  </cellStyleXfs>
  <cellXfs count="47">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3" fontId="0" fillId="0" borderId="0" xfId="0" applyNumberFormat="1"/>
    <xf numFmtId="166" fontId="0" fillId="0" borderId="0" xfId="0" applyNumberFormat="1"/>
    <xf numFmtId="167" fontId="0" fillId="0" borderId="0" xfId="0" applyNumberFormat="1"/>
    <xf numFmtId="0" fontId="0" fillId="0" borderId="0" xfId="0" pivotButton="1"/>
    <xf numFmtId="0" fontId="0" fillId="3" borderId="0" xfId="0" applyFill="1"/>
    <xf numFmtId="0" fontId="0" fillId="0" borderId="0" xfId="0" applyAlignment="1">
      <alignment horizontal="left"/>
    </xf>
    <xf numFmtId="0" fontId="0" fillId="0" borderId="0" xfId="0" applyNumberFormat="1"/>
    <xf numFmtId="168" fontId="0" fillId="0" borderId="0" xfId="0" applyNumberFormat="1"/>
    <xf numFmtId="0" fontId="0" fillId="4" borderId="0" xfId="0" applyFill="1" applyAlignment="1">
      <alignment horizontal="left"/>
    </xf>
    <xf numFmtId="169" fontId="0" fillId="0" borderId="0" xfId="0" applyNumberFormat="1"/>
    <xf numFmtId="0" fontId="0" fillId="0" borderId="0" xfId="0" applyAlignment="1">
      <alignment horizontal="left" indent="1"/>
    </xf>
    <xf numFmtId="0" fontId="5" fillId="3" borderId="0" xfId="0" applyFont="1" applyFill="1" applyAlignment="1">
      <alignment horizontal="left" indent="1"/>
    </xf>
    <xf numFmtId="0" fontId="5" fillId="3" borderId="0" xfId="0" applyFont="1" applyFill="1"/>
    <xf numFmtId="0" fontId="0" fillId="5" borderId="10" xfId="0" applyFill="1" applyBorder="1"/>
    <xf numFmtId="0" fontId="5" fillId="5" borderId="0" xfId="0" applyFont="1" applyFill="1" applyBorder="1"/>
    <xf numFmtId="0" fontId="5" fillId="5" borderId="14" xfId="0" applyFont="1" applyFill="1" applyBorder="1"/>
    <xf numFmtId="0" fontId="5" fillId="5" borderId="13" xfId="0" applyFont="1" applyFill="1" applyBorder="1" applyAlignment="1">
      <alignment horizontal="left" indent="1"/>
    </xf>
    <xf numFmtId="171" fontId="5" fillId="5" borderId="0" xfId="0" applyNumberFormat="1" applyFont="1" applyFill="1" applyBorder="1"/>
    <xf numFmtId="171" fontId="5" fillId="5" borderId="14" xfId="0" applyNumberFormat="1" applyFont="1" applyFill="1" applyBorder="1"/>
    <xf numFmtId="0" fontId="5" fillId="5" borderId="15" xfId="0" applyFont="1" applyFill="1" applyBorder="1" applyAlignment="1">
      <alignment horizontal="left" indent="1"/>
    </xf>
    <xf numFmtId="171" fontId="5" fillId="5" borderId="16" xfId="0" applyNumberFormat="1" applyFont="1" applyFill="1" applyBorder="1"/>
    <xf numFmtId="171" fontId="5" fillId="5" borderId="17" xfId="0" applyNumberFormat="1" applyFont="1" applyFill="1" applyBorder="1"/>
    <xf numFmtId="0" fontId="1" fillId="5" borderId="11" xfId="0" applyFont="1" applyFill="1" applyBorder="1"/>
    <xf numFmtId="0" fontId="1" fillId="5" borderId="12" xfId="0" applyFont="1" applyFill="1" applyBorder="1"/>
    <xf numFmtId="0" fontId="6" fillId="5" borderId="13" xfId="0" applyFont="1" applyFill="1" applyBorder="1"/>
    <xf numFmtId="9" fontId="0" fillId="0" borderId="0" xfId="1" applyFont="1"/>
    <xf numFmtId="0" fontId="0" fillId="0" borderId="0" xfId="0" applyFill="1"/>
  </cellXfs>
  <cellStyles count="2">
    <cellStyle name="Normal" xfId="0" builtinId="0"/>
    <cellStyle name="Percent" xfId="1" builtinId="5"/>
  </cellStyles>
  <dxfs count="19">
    <dxf>
      <fill>
        <patternFill>
          <bgColor theme="8" tint="0.59996337778862885"/>
        </patternFill>
      </fill>
      <border>
        <left style="thin">
          <color theme="1" tint="0.34998626667073579"/>
        </left>
        <right style="thin">
          <color theme="1" tint="0.34998626667073579"/>
        </right>
        <vertical/>
        <horizontal/>
      </border>
    </dxf>
    <dxf>
      <fill>
        <patternFill patternType="solid">
          <bgColor theme="8"/>
        </patternFill>
      </fill>
    </dxf>
    <dxf>
      <font>
        <b/>
        <color theme="1"/>
      </font>
      <border>
        <bottom style="thin">
          <color theme="8"/>
        </bottom>
        <vertical/>
        <horizontal/>
      </border>
    </dxf>
    <dxf>
      <font>
        <color theme="1"/>
      </font>
      <border>
        <left style="thin">
          <color theme="0" tint="-0.24994659260841701"/>
        </left>
        <right style="thin">
          <color theme="0" tint="-0.24994659260841701"/>
        </right>
        <top style="thin">
          <color theme="0" tint="-0.24994659260841701"/>
        </top>
        <bottom style="thin">
          <color theme="0" tint="-0.24994659260841701"/>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rial"/>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18"/>
    </tableStyle>
    <tableStyle name="SlicerStyleDark5 2" pivot="0" table="0" count="10" xr9:uid="{F86FDDF9-0050-4C16-9DE0-3977E1CEF1D8}">
      <tableStyleElement type="wholeTable" dxfId="3"/>
      <tableStyleElement type="headerRow" dxfId="2"/>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22/10/relationships/richValueRel" Target="richData/richValueRel.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17/06/relationships/rdRichValue" Target="richData/rdrichvalue.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accent5"/>
                </a:solidFill>
              </a:rPr>
              <a:t>Amount</a:t>
            </a:r>
          </a:p>
        </c:rich>
      </c:tx>
      <c:layout>
        <c:manualLayout>
          <c:xMode val="edge"/>
          <c:yMode val="edge"/>
          <c:x val="4.1367778308726851E-2"/>
          <c:y val="2.27605704479979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Pivot!$E$43:$E$48</c:f>
              <c:strCache>
                <c:ptCount val="6"/>
                <c:pt idx="0">
                  <c:v>R01</c:v>
                </c:pt>
                <c:pt idx="1">
                  <c:v>R02</c:v>
                </c:pt>
                <c:pt idx="2">
                  <c:v>R03</c:v>
                </c:pt>
                <c:pt idx="3">
                  <c:v>R04</c:v>
                </c:pt>
                <c:pt idx="4">
                  <c:v>R05</c:v>
                </c:pt>
                <c:pt idx="5">
                  <c:v>Grand Total</c:v>
                </c:pt>
              </c:strCache>
            </c:strRef>
          </c:cat>
          <c:val>
            <c:numRef>
              <c:f>Pivot!$G$43:$G$48</c:f>
              <c:numCache>
                <c:formatCode>\$#,##0;\-\$#,##0;\$#,##0</c:formatCode>
                <c:ptCount val="6"/>
                <c:pt idx="0" formatCode="\$#,###.0,&quot;K&quot;">
                  <c:v>18415</c:v>
                </c:pt>
                <c:pt idx="1">
                  <c:v>20581</c:v>
                </c:pt>
                <c:pt idx="2">
                  <c:v>20872</c:v>
                </c:pt>
                <c:pt idx="3">
                  <c:v>16651</c:v>
                </c:pt>
                <c:pt idx="4">
                  <c:v>20104</c:v>
                </c:pt>
                <c:pt idx="5">
                  <c:v>96623</c:v>
                </c:pt>
              </c:numCache>
            </c:numRef>
          </c:val>
          <c:extLst>
            <c:ext xmlns:c16="http://schemas.microsoft.com/office/drawing/2014/chart" uri="{C3380CC4-5D6E-409C-BE32-E72D297353CC}">
              <c16:uniqueId val="{00000000-8078-49A5-990F-ABE4FE242EDF}"/>
            </c:ext>
          </c:extLst>
        </c:ser>
        <c:ser>
          <c:idx val="1"/>
          <c:order val="1"/>
          <c:tx>
            <c:strRef>
              <c:f>Pivot!$I$42</c:f>
              <c:strCache>
                <c:ptCount val="1"/>
                <c:pt idx="0">
                  <c:v>Sel.Amount</c:v>
                </c:pt>
              </c:strCache>
            </c:strRef>
          </c:tx>
          <c:spPr>
            <a:gradFill>
              <a:gsLst>
                <a:gs pos="1000">
                  <a:schemeClr val="accent5">
                    <a:lumMod val="75000"/>
                  </a:schemeClr>
                </a:gs>
                <a:gs pos="100000">
                  <a:schemeClr val="accent5">
                    <a:lumMod val="60000"/>
                    <a:lumOff val="40000"/>
                  </a:schemeClr>
                </a:gs>
              </a:gsLst>
              <a:lin ang="5400000" scaled="1"/>
            </a:gradFill>
            <a:ln>
              <a:noFill/>
            </a:ln>
            <a:effectLst/>
          </c:spPr>
          <c:invertIfNegative val="0"/>
          <c:dLbls>
            <c:delete val="1"/>
          </c:dLbls>
          <c:val>
            <c:numRef>
              <c:f>Pivot!$I$43:$I$48</c:f>
              <c:numCache>
                <c:formatCode>General</c:formatCode>
                <c:ptCount val="6"/>
                <c:pt idx="0" formatCode="\$\,##.0,&quot;K&quot;">
                  <c:v>18415</c:v>
                </c:pt>
                <c:pt idx="1">
                  <c:v>#N/A</c:v>
                </c:pt>
                <c:pt idx="2">
                  <c:v>#N/A</c:v>
                </c:pt>
                <c:pt idx="3">
                  <c:v>#N/A</c:v>
                </c:pt>
                <c:pt idx="4">
                  <c:v>#N/A</c:v>
                </c:pt>
                <c:pt idx="5">
                  <c:v>#N/A</c:v>
                </c:pt>
              </c:numCache>
            </c:numRef>
          </c:val>
          <c:extLst>
            <c:ext xmlns:c16="http://schemas.microsoft.com/office/drawing/2014/chart" uri="{C3380CC4-5D6E-409C-BE32-E72D297353CC}">
              <c16:uniqueId val="{00000001-8078-49A5-990F-ABE4FE242EDF}"/>
            </c:ext>
          </c:extLst>
        </c:ser>
        <c:dLbls>
          <c:dLblPos val="outEnd"/>
          <c:showLegendKey val="0"/>
          <c:showVal val="1"/>
          <c:showCatName val="0"/>
          <c:showSerName val="0"/>
          <c:showPercent val="0"/>
          <c:showBubbleSize val="0"/>
        </c:dLbls>
        <c:gapWidth val="25"/>
        <c:overlap val="100"/>
        <c:axId val="141377023"/>
        <c:axId val="141368383"/>
      </c:barChart>
      <c:catAx>
        <c:axId val="141377023"/>
        <c:scaling>
          <c:orientation val="maxMin"/>
        </c:scaling>
        <c:delete val="1"/>
        <c:axPos val="l"/>
        <c:numFmt formatCode="General" sourceLinked="1"/>
        <c:majorTickMark val="out"/>
        <c:minorTickMark val="none"/>
        <c:tickLblPos val="nextTo"/>
        <c:crossAx val="141368383"/>
        <c:crosses val="autoZero"/>
        <c:auto val="1"/>
        <c:lblAlgn val="ctr"/>
        <c:lblOffset val="100"/>
        <c:noMultiLvlLbl val="0"/>
      </c:catAx>
      <c:valAx>
        <c:axId val="141368383"/>
        <c:scaling>
          <c:orientation val="minMax"/>
          <c:max val="25000"/>
        </c:scaling>
        <c:delete val="1"/>
        <c:axPos val="t"/>
        <c:numFmt formatCode="\$#,###.0,&quot;K&quot;" sourceLinked="1"/>
        <c:majorTickMark val="out"/>
        <c:minorTickMark val="none"/>
        <c:tickLblPos val="nextTo"/>
        <c:crossAx val="1413770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[excel-Calls -center-project (1).xlsx]Pivot!Week Days Trend</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Pivot!$F$24</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Pivot!$E$25:$E$32</c:f>
              <c:strCache>
                <c:ptCount val="7"/>
                <c:pt idx="0">
                  <c:v>Saturday</c:v>
                </c:pt>
                <c:pt idx="1">
                  <c:v>Friday</c:v>
                </c:pt>
                <c:pt idx="2">
                  <c:v>Thursday</c:v>
                </c:pt>
                <c:pt idx="3">
                  <c:v>Wednesday</c:v>
                </c:pt>
                <c:pt idx="4">
                  <c:v>Tuesday</c:v>
                </c:pt>
                <c:pt idx="5">
                  <c:v>Monday</c:v>
                </c:pt>
                <c:pt idx="6">
                  <c:v>Sunday</c:v>
                </c:pt>
              </c:strCache>
            </c:strRef>
          </c:cat>
          <c:val>
            <c:numRef>
              <c:f>Pivot!$F$25:$F$32</c:f>
              <c:numCache>
                <c:formatCode>#,##0</c:formatCode>
                <c:ptCount val="7"/>
                <c:pt idx="0">
                  <c:v>40</c:v>
                </c:pt>
                <c:pt idx="1">
                  <c:v>24</c:v>
                </c:pt>
                <c:pt idx="2">
                  <c:v>23</c:v>
                </c:pt>
                <c:pt idx="3">
                  <c:v>23</c:v>
                </c:pt>
                <c:pt idx="4">
                  <c:v>13</c:v>
                </c:pt>
                <c:pt idx="5">
                  <c:v>30</c:v>
                </c:pt>
                <c:pt idx="6">
                  <c:v>36</c:v>
                </c:pt>
              </c:numCache>
            </c:numRef>
          </c:val>
          <c:extLst>
            <c:ext xmlns:c16="http://schemas.microsoft.com/office/drawing/2014/chart" uri="{C3380CC4-5D6E-409C-BE32-E72D297353CC}">
              <c16:uniqueId val="{00000000-FFBE-4B64-BE46-A52877BF2C7B}"/>
            </c:ext>
          </c:extLst>
        </c:ser>
        <c:dLbls>
          <c:showLegendKey val="0"/>
          <c:showVal val="0"/>
          <c:showCatName val="0"/>
          <c:showSerName val="0"/>
          <c:showPercent val="0"/>
          <c:showBubbleSize val="0"/>
        </c:dLbls>
        <c:gapWidth val="25"/>
        <c:axId val="109387663"/>
        <c:axId val="109388143"/>
      </c:barChart>
      <c:catAx>
        <c:axId val="1093876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88143"/>
        <c:crosses val="autoZero"/>
        <c:auto val="1"/>
        <c:lblAlgn val="ctr"/>
        <c:lblOffset val="100"/>
        <c:noMultiLvlLbl val="0"/>
      </c:catAx>
      <c:valAx>
        <c:axId val="109388143"/>
        <c:scaling>
          <c:orientation val="minMax"/>
        </c:scaling>
        <c:delete val="1"/>
        <c:axPos val="b"/>
        <c:numFmt formatCode="#,##0" sourceLinked="1"/>
        <c:majorTickMark val="none"/>
        <c:minorTickMark val="none"/>
        <c:tickLblPos val="nextTo"/>
        <c:crossAx val="1093876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sx="1000" sy="1000" algn="ctr" rotWithShape="0">
        <a:schemeClr val="bg1">
          <a:lumMod val="85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[excel-Calls -center-project (1).xlsx]Pivot!Monthly Trend</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accent5"/>
                </a:solidFill>
              </a:rPr>
              <a:t>Call</a:t>
            </a:r>
            <a:r>
              <a:rPr lang="en-IN" baseline="0"/>
              <a:t> </a:t>
            </a:r>
            <a:r>
              <a:rPr lang="en-IN" sz="1600" b="1" baseline="0">
                <a:solidFill>
                  <a:schemeClr val="accent5"/>
                </a:solidFill>
              </a:rPr>
              <a:t>Trend</a:t>
            </a:r>
            <a:endParaRPr lang="en-IN" sz="1600" b="1">
              <a:solidFill>
                <a:schemeClr val="accent5"/>
              </a:solidFill>
            </a:endParaRPr>
          </a:p>
        </c:rich>
      </c:tx>
      <c:layout>
        <c:manualLayout>
          <c:xMode val="edge"/>
          <c:yMode val="edge"/>
          <c:x val="5.5990074746560134E-2"/>
          <c:y val="3.54385968175954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6000">
                <a:schemeClr val="accent6">
                  <a:lumMod val="60000"/>
                  <a:lumOff val="40000"/>
                </a:schemeClr>
              </a:gs>
              <a:gs pos="100000">
                <a:schemeClr val="accent6">
                  <a:alpha val="5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7"/>
          <c:spPr>
            <a:solidFill>
              <a:schemeClr val="bg1"/>
            </a:solidFill>
            <a:ln w="25400" cap="rnd">
              <a:solidFill>
                <a:schemeClr val="tx1">
                  <a:lumMod val="75000"/>
                  <a:lumOff val="2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Pivot!$C$24</c:f>
              <c:strCache>
                <c:ptCount val="1"/>
                <c:pt idx="0">
                  <c:v>Call Count2</c:v>
                </c:pt>
              </c:strCache>
            </c:strRef>
          </c:tx>
          <c:spPr>
            <a:gradFill>
              <a:gsLst>
                <a:gs pos="6000">
                  <a:schemeClr val="accent6">
                    <a:lumMod val="60000"/>
                    <a:lumOff val="40000"/>
                  </a:schemeClr>
                </a:gs>
                <a:gs pos="100000">
                  <a:schemeClr val="accent6">
                    <a:alpha val="50000"/>
                  </a:schemeClr>
                </a:gs>
              </a:gsLst>
              <a:lin ang="5400000" scaled="1"/>
            </a:gradFill>
            <a:ln>
              <a:noFill/>
            </a:ln>
            <a:effectLst/>
          </c:spPr>
          <c:cat>
            <c:strRef>
              <c:f>Pivot!$A$25:$A$37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Pivot!$C$25:$C$37</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extLst>
            <c:ext xmlns:c16="http://schemas.microsoft.com/office/drawing/2014/chart" uri="{C3380CC4-5D6E-409C-BE32-E72D297353CC}">
              <c16:uniqueId val="{00000000-4A4F-4DDC-82BA-66F2B654D282}"/>
            </c:ext>
          </c:extLst>
        </c:ser>
        <c:dLbls>
          <c:showLegendKey val="0"/>
          <c:showVal val="0"/>
          <c:showCatName val="0"/>
          <c:showSerName val="0"/>
          <c:showPercent val="0"/>
          <c:showBubbleSize val="0"/>
        </c:dLbls>
        <c:axId val="1479942624"/>
        <c:axId val="1479943104"/>
      </c:areaChart>
      <c:lineChart>
        <c:grouping val="standard"/>
        <c:varyColors val="0"/>
        <c:ser>
          <c:idx val="0"/>
          <c:order val="0"/>
          <c:tx>
            <c:strRef>
              <c:f>Pivot!$B$24</c:f>
              <c:strCache>
                <c:ptCount val="1"/>
                <c:pt idx="0">
                  <c:v>Call Count</c:v>
                </c:pt>
              </c:strCache>
            </c:strRef>
          </c:tx>
          <c:spPr>
            <a:ln w="28575" cap="rnd">
              <a:solidFill>
                <a:schemeClr val="accent6"/>
              </a:solidFill>
              <a:round/>
            </a:ln>
            <a:effectLst/>
          </c:spPr>
          <c:marker>
            <c:symbol val="circle"/>
            <c:size val="7"/>
            <c:spPr>
              <a:solidFill>
                <a:schemeClr val="bg1"/>
              </a:solidFill>
              <a:ln w="25400" cap="rnd">
                <a:solidFill>
                  <a:schemeClr val="tx1">
                    <a:lumMod val="75000"/>
                    <a:lumOff val="25000"/>
                  </a:schemeClr>
                </a:solidFill>
              </a:ln>
              <a:effectLst/>
            </c:spPr>
          </c:marker>
          <c:cat>
            <c:strRef>
              <c:f>Pivot!$A$25:$A$37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Pivot!$B$25:$B$37</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smooth val="0"/>
          <c:extLst>
            <c:ext xmlns:c16="http://schemas.microsoft.com/office/drawing/2014/chart" uri="{C3380CC4-5D6E-409C-BE32-E72D297353CC}">
              <c16:uniqueId val="{00000001-4A4F-4DDC-82BA-66F2B654D282}"/>
            </c:ext>
          </c:extLst>
        </c:ser>
        <c:dLbls>
          <c:showLegendKey val="0"/>
          <c:showVal val="0"/>
          <c:showCatName val="0"/>
          <c:showSerName val="0"/>
          <c:showPercent val="0"/>
          <c:showBubbleSize val="0"/>
        </c:dLbls>
        <c:marker val="1"/>
        <c:smooth val="0"/>
        <c:axId val="1479942624"/>
        <c:axId val="1479943104"/>
      </c:lineChart>
      <c:catAx>
        <c:axId val="1479942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9943104"/>
        <c:crosses val="autoZero"/>
        <c:auto val="1"/>
        <c:lblAlgn val="ctr"/>
        <c:lblOffset val="100"/>
        <c:noMultiLvlLbl val="0"/>
      </c:catAx>
      <c:valAx>
        <c:axId val="14799431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9942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sx="9000" sy="9000" algn="ctr" rotWithShape="0">
        <a:schemeClr val="bg1">
          <a:lumMod val="85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accent5"/>
                </a:solidFill>
                <a:latin typeface="+mn-lt"/>
                <a:ea typeface="+mn-ea"/>
                <a:cs typeface="+mn-cs"/>
              </a:defRPr>
            </a:pPr>
            <a:r>
              <a:rPr lang="en-IN" sz="1600" b="1">
                <a:solidFill>
                  <a:schemeClr val="accent5"/>
                </a:solidFill>
              </a:rPr>
              <a:t>Calls</a:t>
            </a:r>
          </a:p>
        </c:rich>
      </c:tx>
      <c:layout>
        <c:manualLayout>
          <c:xMode val="edge"/>
          <c:yMode val="edge"/>
          <c:x val="4.4314702983791511E-2"/>
          <c:y val="2.2824854289365235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accent5"/>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Pivot!$E$43:$E$48</c:f>
              <c:strCache>
                <c:ptCount val="6"/>
                <c:pt idx="0">
                  <c:v>R01</c:v>
                </c:pt>
                <c:pt idx="1">
                  <c:v>R02</c:v>
                </c:pt>
                <c:pt idx="2">
                  <c:v>R03</c:v>
                </c:pt>
                <c:pt idx="3">
                  <c:v>R04</c:v>
                </c:pt>
                <c:pt idx="4">
                  <c:v>R05</c:v>
                </c:pt>
                <c:pt idx="5">
                  <c:v>Grand Total</c:v>
                </c:pt>
              </c:strCache>
            </c:strRef>
          </c:cat>
          <c:val>
            <c:numRef>
              <c:f>Pivot!$F$43:$F$48</c:f>
              <c:numCache>
                <c:formatCode>#,##0</c:formatCode>
                <c:ptCount val="6"/>
                <c:pt idx="0">
                  <c:v>189</c:v>
                </c:pt>
                <c:pt idx="1">
                  <c:v>218</c:v>
                </c:pt>
                <c:pt idx="2">
                  <c:v>207</c:v>
                </c:pt>
                <c:pt idx="3">
                  <c:v>186</c:v>
                </c:pt>
                <c:pt idx="4">
                  <c:v>200</c:v>
                </c:pt>
                <c:pt idx="5">
                  <c:v>1000</c:v>
                </c:pt>
              </c:numCache>
            </c:numRef>
          </c:val>
          <c:extLst>
            <c:ext xmlns:c16="http://schemas.microsoft.com/office/drawing/2014/chart" uri="{C3380CC4-5D6E-409C-BE32-E72D297353CC}">
              <c16:uniqueId val="{00000000-E3F0-462F-85D8-9E96409D333F}"/>
            </c:ext>
          </c:extLst>
        </c:ser>
        <c:ser>
          <c:idx val="1"/>
          <c:order val="1"/>
          <c:tx>
            <c:strRef>
              <c:f>Pivot!$H$42</c:f>
              <c:strCache>
                <c:ptCount val="1"/>
                <c:pt idx="0">
                  <c:v>Sel.Call</c:v>
                </c:pt>
              </c:strCache>
            </c:strRef>
          </c:tx>
          <c:spPr>
            <a:gradFill>
              <a:gsLst>
                <a:gs pos="1000">
                  <a:schemeClr val="accent5">
                    <a:lumMod val="75000"/>
                  </a:schemeClr>
                </a:gs>
                <a:gs pos="100000">
                  <a:schemeClr val="accent5">
                    <a:lumMod val="60000"/>
                    <a:lumOff val="4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Pivot!$H$43:$H$48</c:f>
              <c:numCache>
                <c:formatCode>General</c:formatCode>
                <c:ptCount val="6"/>
                <c:pt idx="0">
                  <c:v>189</c:v>
                </c:pt>
                <c:pt idx="1">
                  <c:v>#N/A</c:v>
                </c:pt>
                <c:pt idx="2">
                  <c:v>#N/A</c:v>
                </c:pt>
                <c:pt idx="3">
                  <c:v>#N/A</c:v>
                </c:pt>
                <c:pt idx="4">
                  <c:v>#N/A</c:v>
                </c:pt>
                <c:pt idx="5">
                  <c:v>#N/A</c:v>
                </c:pt>
              </c:numCache>
            </c:numRef>
          </c:val>
          <c:extLst>
            <c:ext xmlns:c16="http://schemas.microsoft.com/office/drawing/2014/chart" uri="{C3380CC4-5D6E-409C-BE32-E72D297353CC}">
              <c16:uniqueId val="{00000001-E3F0-462F-85D8-9E96409D333F}"/>
            </c:ext>
          </c:extLst>
        </c:ser>
        <c:dLbls>
          <c:dLblPos val="outEnd"/>
          <c:showLegendKey val="0"/>
          <c:showVal val="1"/>
          <c:showCatName val="0"/>
          <c:showSerName val="0"/>
          <c:showPercent val="0"/>
          <c:showBubbleSize val="0"/>
        </c:dLbls>
        <c:gapWidth val="25"/>
        <c:overlap val="100"/>
        <c:axId val="141377023"/>
        <c:axId val="141368383"/>
      </c:barChart>
      <c:catAx>
        <c:axId val="141377023"/>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68383"/>
        <c:crosses val="autoZero"/>
        <c:auto val="1"/>
        <c:lblAlgn val="ctr"/>
        <c:lblOffset val="100"/>
        <c:noMultiLvlLbl val="0"/>
      </c:catAx>
      <c:valAx>
        <c:axId val="141368383"/>
        <c:scaling>
          <c:orientation val="minMax"/>
          <c:max val="240"/>
          <c:min val="0"/>
        </c:scaling>
        <c:delete val="1"/>
        <c:axPos val="t"/>
        <c:numFmt formatCode="#,##0" sourceLinked="1"/>
        <c:majorTickMark val="out"/>
        <c:minorTickMark val="none"/>
        <c:tickLblPos val="nextTo"/>
        <c:crossAx val="141377023"/>
        <c:crosses val="autoZero"/>
        <c:crossBetween val="between"/>
        <c:majorUnit val="50"/>
        <c:minorUnit val="5"/>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[excel-Calls -center-project (1).xlsx]Pivot!PivotTable8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5"/>
                </a:solidFill>
              </a:rPr>
              <a:t>Female</a:t>
            </a:r>
            <a:r>
              <a:rPr lang="en-IN" baseline="0"/>
              <a:t> </a:t>
            </a:r>
            <a:r>
              <a:rPr lang="en-IN" b="1" baseline="0"/>
              <a:t>VS</a:t>
            </a:r>
            <a:r>
              <a:rPr lang="en-IN" baseline="0"/>
              <a:t> </a:t>
            </a:r>
            <a:r>
              <a:rPr lang="en-IN" b="1" baseline="0">
                <a:solidFill>
                  <a:schemeClr val="accent4"/>
                </a:solidFill>
              </a:rPr>
              <a:t>Male</a:t>
            </a:r>
            <a:r>
              <a:rPr lang="en-IN" baseline="0"/>
              <a:t> </a:t>
            </a:r>
            <a:r>
              <a:rPr lang="en-IN" sz="1200" b="1" baseline="0"/>
              <a:t>Callers</a:t>
            </a:r>
            <a:endParaRPr lang="en-IN"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solidFill>
              <a:schemeClr val="bg1">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solidFill>
              <a:schemeClr val="bg1">
                <a:alpha val="50000"/>
              </a:schemeClr>
            </a:solidFill>
            <a:ln>
              <a:noFill/>
            </a:ln>
            <a:effectLst>
              <a:outerShdw sx="1000" sy="1000" algn="ctr" rotWithShape="0">
                <a:schemeClr val="bg1"/>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Pivot!$B$57:$B$58</c:f>
              <c:strCache>
                <c:ptCount val="1"/>
                <c:pt idx="0">
                  <c:v>Female</c:v>
                </c:pt>
              </c:strCache>
            </c:strRef>
          </c:tx>
          <c:spPr>
            <a:solidFill>
              <a:schemeClr val="accent5"/>
            </a:solidFill>
            <a:ln>
              <a:noFill/>
            </a:ln>
            <a:effectLst/>
          </c:spPr>
          <c:invertIfNegative val="0"/>
          <c:dLbls>
            <c:spPr>
              <a:solidFill>
                <a:schemeClr val="bg1">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Pivot!$A$59:$A$62</c:f>
              <c:strCache>
                <c:ptCount val="3"/>
                <c:pt idx="0">
                  <c:v>Cincinnati</c:v>
                </c:pt>
                <c:pt idx="1">
                  <c:v>Cleveland</c:v>
                </c:pt>
                <c:pt idx="2">
                  <c:v>Columbus</c:v>
                </c:pt>
              </c:strCache>
            </c:strRef>
          </c:cat>
          <c:val>
            <c:numRef>
              <c:f>Pivot!$B$59:$B$62</c:f>
              <c:numCache>
                <c:formatCode>#,##0</c:formatCode>
                <c:ptCount val="3"/>
                <c:pt idx="0">
                  <c:v>144</c:v>
                </c:pt>
                <c:pt idx="1">
                  <c:v>326</c:v>
                </c:pt>
                <c:pt idx="2">
                  <c:v>129</c:v>
                </c:pt>
              </c:numCache>
            </c:numRef>
          </c:val>
          <c:extLst>
            <c:ext xmlns:c16="http://schemas.microsoft.com/office/drawing/2014/chart" uri="{C3380CC4-5D6E-409C-BE32-E72D297353CC}">
              <c16:uniqueId val="{00000000-E20F-483C-A472-E698D724EF5D}"/>
            </c:ext>
          </c:extLst>
        </c:ser>
        <c:ser>
          <c:idx val="1"/>
          <c:order val="1"/>
          <c:tx>
            <c:strRef>
              <c:f>Pivot!$C$57:$C$58</c:f>
              <c:strCache>
                <c:ptCount val="1"/>
                <c:pt idx="0">
                  <c:v>Male</c:v>
                </c:pt>
              </c:strCache>
            </c:strRef>
          </c:tx>
          <c:spPr>
            <a:solidFill>
              <a:schemeClr val="accent4"/>
            </a:solidFill>
            <a:ln>
              <a:noFill/>
            </a:ln>
            <a:effectLst/>
          </c:spPr>
          <c:invertIfNegative val="0"/>
          <c:dLbls>
            <c:spPr>
              <a:solidFill>
                <a:schemeClr val="bg1">
                  <a:alpha val="50000"/>
                </a:schemeClr>
              </a:solidFill>
              <a:ln>
                <a:noFill/>
              </a:ln>
              <a:effectLst>
                <a:outerShdw sx="1000" sy="1000" algn="ctr" rotWithShape="0">
                  <a:schemeClr val="bg1"/>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Pivot!$A$59:$A$62</c:f>
              <c:strCache>
                <c:ptCount val="3"/>
                <c:pt idx="0">
                  <c:v>Cincinnati</c:v>
                </c:pt>
                <c:pt idx="1">
                  <c:v>Cleveland</c:v>
                </c:pt>
                <c:pt idx="2">
                  <c:v>Columbus</c:v>
                </c:pt>
              </c:strCache>
            </c:strRef>
          </c:cat>
          <c:val>
            <c:numRef>
              <c:f>Pivot!$C$59:$C$62</c:f>
              <c:numCache>
                <c:formatCode>#,##0</c:formatCode>
                <c:ptCount val="3"/>
                <c:pt idx="0">
                  <c:v>132</c:v>
                </c:pt>
                <c:pt idx="1">
                  <c:v>63</c:v>
                </c:pt>
                <c:pt idx="2">
                  <c:v>206</c:v>
                </c:pt>
              </c:numCache>
            </c:numRef>
          </c:val>
          <c:extLst>
            <c:ext xmlns:c16="http://schemas.microsoft.com/office/drawing/2014/chart" uri="{C3380CC4-5D6E-409C-BE32-E72D297353CC}">
              <c16:uniqueId val="{00000001-E20F-483C-A472-E698D724EF5D}"/>
            </c:ext>
          </c:extLst>
        </c:ser>
        <c:dLbls>
          <c:dLblPos val="ctr"/>
          <c:showLegendKey val="0"/>
          <c:showVal val="1"/>
          <c:showCatName val="0"/>
          <c:showSerName val="0"/>
          <c:showPercent val="0"/>
          <c:showBubbleSize val="0"/>
        </c:dLbls>
        <c:gapWidth val="25"/>
        <c:overlap val="100"/>
        <c:axId val="109376143"/>
        <c:axId val="109372783"/>
      </c:barChart>
      <c:catAx>
        <c:axId val="1093761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72783"/>
        <c:crosses val="autoZero"/>
        <c:auto val="1"/>
        <c:lblAlgn val="ctr"/>
        <c:lblOffset val="100"/>
        <c:noMultiLvlLbl val="0"/>
      </c:catAx>
      <c:valAx>
        <c:axId val="109372783"/>
        <c:scaling>
          <c:orientation val="minMax"/>
        </c:scaling>
        <c:delete val="1"/>
        <c:axPos val="l"/>
        <c:numFmt formatCode="0%" sourceLinked="1"/>
        <c:majorTickMark val="none"/>
        <c:minorTickMark val="none"/>
        <c:tickLblPos val="nextTo"/>
        <c:crossAx val="109376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sx="1000" sy="1000" algn="ctr" rotWithShape="0">
        <a:schemeClr val="bg1">
          <a:lumMod val="95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[excel-Calls -center-project (1).xlsx]Pivot!Rep Saticfaction</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60000"/>
                    <a:lumOff val="40000"/>
                  </a:schemeClr>
                </a:solidFill>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Pivot!$B$67</c:f>
              <c:strCache>
                <c:ptCount val="1"/>
                <c:pt idx="0">
                  <c:v>Total</c:v>
                </c:pt>
              </c:strCache>
            </c:strRef>
          </c:tx>
          <c:spPr>
            <a:solidFill>
              <a:schemeClr val="tx2">
                <a:lumMod val="60000"/>
                <a:lumOff val="40000"/>
              </a:schemeClr>
            </a:solidFill>
            <a:ln>
              <a:noFill/>
            </a:ln>
            <a:effectLst/>
          </c:spPr>
          <c:invertIfNegative val="0"/>
          <c:cat>
            <c:strRef>
              <c:f>Pivot!$A$68:$A$73</c:f>
              <c:strCache>
                <c:ptCount val="5"/>
                <c:pt idx="0">
                  <c:v>1</c:v>
                </c:pt>
                <c:pt idx="1">
                  <c:v>2</c:v>
                </c:pt>
                <c:pt idx="2">
                  <c:v>3</c:v>
                </c:pt>
                <c:pt idx="3">
                  <c:v>4</c:v>
                </c:pt>
                <c:pt idx="4">
                  <c:v>5</c:v>
                </c:pt>
              </c:strCache>
            </c:strRef>
          </c:cat>
          <c:val>
            <c:numRef>
              <c:f>Pivot!$B$68:$B$73</c:f>
              <c:numCache>
                <c:formatCode>#,##0</c:formatCode>
                <c:ptCount val="5"/>
                <c:pt idx="0">
                  <c:v>1</c:v>
                </c:pt>
                <c:pt idx="1">
                  <c:v>9</c:v>
                </c:pt>
                <c:pt idx="2">
                  <c:v>31</c:v>
                </c:pt>
                <c:pt idx="3">
                  <c:v>88</c:v>
                </c:pt>
                <c:pt idx="4">
                  <c:v>60</c:v>
                </c:pt>
              </c:numCache>
            </c:numRef>
          </c:val>
          <c:extLst>
            <c:ext xmlns:c16="http://schemas.microsoft.com/office/drawing/2014/chart" uri="{C3380CC4-5D6E-409C-BE32-E72D297353CC}">
              <c16:uniqueId val="{00000000-A002-481D-8966-B2DA224765DA}"/>
            </c:ext>
          </c:extLst>
        </c:ser>
        <c:dLbls>
          <c:showLegendKey val="0"/>
          <c:showVal val="0"/>
          <c:showCatName val="0"/>
          <c:showSerName val="0"/>
          <c:showPercent val="0"/>
          <c:showBubbleSize val="0"/>
        </c:dLbls>
        <c:gapWidth val="20"/>
        <c:overlap val="-27"/>
        <c:axId val="141393343"/>
        <c:axId val="141377023"/>
      </c:barChart>
      <c:catAx>
        <c:axId val="141393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77023"/>
        <c:crosses val="autoZero"/>
        <c:auto val="1"/>
        <c:lblAlgn val="ctr"/>
        <c:lblOffset val="100"/>
        <c:noMultiLvlLbl val="0"/>
      </c:catAx>
      <c:valAx>
        <c:axId val="1413770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93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chart" Target="../charts/chart3.xml"/><Relationship Id="rId3" Type="http://schemas.openxmlformats.org/officeDocument/2006/relationships/image" Target="../media/image1.png"/><Relationship Id="rId7" Type="http://schemas.openxmlformats.org/officeDocument/2006/relationships/image" Target="../media/image5.png"/><Relationship Id="rId12" Type="http://schemas.openxmlformats.org/officeDocument/2006/relationships/image" Target="../media/image10.svg"/><Relationship Id="rId2" Type="http://schemas.openxmlformats.org/officeDocument/2006/relationships/chart" Target="../charts/chart2.xml"/><Relationship Id="rId16" Type="http://schemas.openxmlformats.org/officeDocument/2006/relationships/chart" Target="../charts/chart6.xml"/><Relationship Id="rId1" Type="http://schemas.openxmlformats.org/officeDocument/2006/relationships/chart" Target="../charts/chart1.xml"/><Relationship Id="rId6" Type="http://schemas.openxmlformats.org/officeDocument/2006/relationships/image" Target="../media/image4.svg"/><Relationship Id="rId11" Type="http://schemas.openxmlformats.org/officeDocument/2006/relationships/image" Target="../media/image9.png"/><Relationship Id="rId5" Type="http://schemas.openxmlformats.org/officeDocument/2006/relationships/image" Target="../media/image3.png"/><Relationship Id="rId15" Type="http://schemas.openxmlformats.org/officeDocument/2006/relationships/chart" Target="../charts/chart5.xml"/><Relationship Id="rId10" Type="http://schemas.openxmlformats.org/officeDocument/2006/relationships/image" Target="../media/image8.svg"/><Relationship Id="rId4" Type="http://schemas.openxmlformats.org/officeDocument/2006/relationships/image" Target="../media/image2.svg"/><Relationship Id="rId9" Type="http://schemas.openxmlformats.org/officeDocument/2006/relationships/image" Target="../media/image7.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8.svg"/><Relationship Id="rId3" Type="http://schemas.openxmlformats.org/officeDocument/2006/relationships/image" Target="../media/image13.png"/><Relationship Id="rId7" Type="http://schemas.openxmlformats.org/officeDocument/2006/relationships/image" Target="../media/image17.png"/><Relationship Id="rId12" Type="http://schemas.openxmlformats.org/officeDocument/2006/relationships/image" Target="../media/image22.svg"/><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image" Target="../media/image16.svg"/><Relationship Id="rId11" Type="http://schemas.openxmlformats.org/officeDocument/2006/relationships/image" Target="../media/image21.png"/><Relationship Id="rId5" Type="http://schemas.openxmlformats.org/officeDocument/2006/relationships/image" Target="../media/image15.png"/><Relationship Id="rId10" Type="http://schemas.openxmlformats.org/officeDocument/2006/relationships/image" Target="../media/image20.svg"/><Relationship Id="rId4" Type="http://schemas.openxmlformats.org/officeDocument/2006/relationships/image" Target="../media/image14.svg"/><Relationship Id="rId9"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editAs="oneCell">
    <xdr:from>
      <xdr:col>14</xdr:col>
      <xdr:colOff>160319</xdr:colOff>
      <xdr:row>20</xdr:row>
      <xdr:rowOff>175627</xdr:rowOff>
    </xdr:from>
    <xdr:to>
      <xdr:col>16</xdr:col>
      <xdr:colOff>314504</xdr:colOff>
      <xdr:row>29</xdr:row>
      <xdr:rowOff>109611</xdr:rowOff>
    </xdr:to>
    <mc:AlternateContent xmlns:mc="http://schemas.openxmlformats.org/markup-compatibility/2006">
      <mc:Choice xmlns:a14="http://schemas.microsoft.com/office/drawing/2010/main" Requires="a14">
        <xdr:graphicFrame macro="">
          <xdr:nvGraphicFramePr>
            <xdr:cNvPr id="23" name="Representative">
              <a:extLst>
                <a:ext uri="{FF2B5EF4-FFF2-40B4-BE49-F238E27FC236}">
                  <a16:creationId xmlns:a16="http://schemas.microsoft.com/office/drawing/2014/main" id="{07E900B4-683B-4A1A-9CE2-5E2DBE9D26E9}"/>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dr:sp macro="" textlink="">
          <xdr:nvSpPr>
            <xdr:cNvPr id="0" name=""/>
            <xdr:cNvSpPr>
              <a:spLocks noTextEdit="1"/>
            </xdr:cNvSpPr>
          </xdr:nvSpPr>
          <xdr:spPr>
            <a:xfrm>
              <a:off x="8678904" y="3778952"/>
              <a:ext cx="1223501" cy="15514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452674</xdr:colOff>
      <xdr:row>16</xdr:row>
      <xdr:rowOff>150892</xdr:rowOff>
    </xdr:from>
    <xdr:to>
      <xdr:col>14</xdr:col>
      <xdr:colOff>198045</xdr:colOff>
      <xdr:row>35</xdr:row>
      <xdr:rowOff>141462</xdr:rowOff>
    </xdr:to>
    <xdr:sp macro="" textlink="">
      <xdr:nvSpPr>
        <xdr:cNvPr id="28" name="Rectangle 27">
          <a:extLst>
            <a:ext uri="{FF2B5EF4-FFF2-40B4-BE49-F238E27FC236}">
              <a16:creationId xmlns:a16="http://schemas.microsoft.com/office/drawing/2014/main" id="{2156A3CC-4C03-C223-6C79-6F659B269F2E}"/>
            </a:ext>
          </a:extLst>
        </xdr:cNvPr>
        <xdr:cNvSpPr/>
      </xdr:nvSpPr>
      <xdr:spPr>
        <a:xfrm>
          <a:off x="2442550" y="2480273"/>
          <a:ext cx="6629777" cy="33950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18863</xdr:colOff>
      <xdr:row>17</xdr:row>
      <xdr:rowOff>18861</xdr:rowOff>
    </xdr:from>
    <xdr:to>
      <xdr:col>14</xdr:col>
      <xdr:colOff>169753</xdr:colOff>
      <xdr:row>35</xdr:row>
      <xdr:rowOff>141459</xdr:rowOff>
    </xdr:to>
    <xdr:graphicFrame macro="">
      <xdr:nvGraphicFramePr>
        <xdr:cNvPr id="27" name="Chart 26">
          <a:extLst>
            <a:ext uri="{FF2B5EF4-FFF2-40B4-BE49-F238E27FC236}">
              <a16:creationId xmlns:a16="http://schemas.microsoft.com/office/drawing/2014/main" id="{45D2B1C4-93C0-4E99-B20C-DB8F167244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28290</xdr:colOff>
      <xdr:row>5</xdr:row>
      <xdr:rowOff>44929</xdr:rowOff>
    </xdr:from>
    <xdr:to>
      <xdr:col>14</xdr:col>
      <xdr:colOff>0</xdr:colOff>
      <xdr:row>14</xdr:row>
      <xdr:rowOff>80873</xdr:rowOff>
    </xdr:to>
    <xdr:graphicFrame macro="">
      <xdr:nvGraphicFramePr>
        <xdr:cNvPr id="25" name="Chart 24">
          <a:extLst>
            <a:ext uri="{FF2B5EF4-FFF2-40B4-BE49-F238E27FC236}">
              <a16:creationId xmlns:a16="http://schemas.microsoft.com/office/drawing/2014/main" id="{B6860B68-E2C7-4971-8FC1-02731FBF95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4</xdr:row>
      <xdr:rowOff>0</xdr:rowOff>
    </xdr:from>
    <xdr:to>
      <xdr:col>4</xdr:col>
      <xdr:colOff>295275</xdr:colOff>
      <xdr:row>9</xdr:row>
      <xdr:rowOff>9525</xdr:rowOff>
    </xdr:to>
    <xdr:sp macro="" textlink="Pivot!A4">
      <xdr:nvSpPr>
        <xdr:cNvPr id="2" name="Rectangle 1">
          <a:extLst>
            <a:ext uri="{FF2B5EF4-FFF2-40B4-BE49-F238E27FC236}">
              <a16:creationId xmlns:a16="http://schemas.microsoft.com/office/drawing/2014/main" id="{013D5EF5-099E-4AF2-8036-446414739A49}"/>
            </a:ext>
          </a:extLst>
        </xdr:cNvPr>
        <xdr:cNvSpPr/>
      </xdr:nvSpPr>
      <xdr:spPr>
        <a:xfrm>
          <a:off x="619125" y="180975"/>
          <a:ext cx="1666875" cy="914400"/>
        </a:xfrm>
        <a:prstGeom prst="rect">
          <a:avLst/>
        </a:prstGeom>
        <a:solidFill>
          <a:schemeClr val="accent6"/>
        </a:solidFill>
        <a:effectLst>
          <a:outerShdw blurRad="254000" dist="127000" dir="27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699978A-BE12-4CC8-92D6-DCD864004921}" type="TxLink">
            <a:rPr lang="en-US" sz="2800" b="1" i="0" u="none" strike="noStrike">
              <a:solidFill>
                <a:schemeClr val="bg1"/>
              </a:solidFill>
              <a:latin typeface="Arial"/>
              <a:cs typeface="Arial"/>
            </a:rPr>
            <a:pPr algn="ctr"/>
            <a:t>1,000</a:t>
          </a:fld>
          <a:endParaRPr lang="en-US" sz="2800" b="1">
            <a:solidFill>
              <a:schemeClr val="bg1"/>
            </a:solidFill>
          </a:endParaRPr>
        </a:p>
      </xdr:txBody>
    </xdr:sp>
    <xdr:clientData/>
  </xdr:twoCellAnchor>
  <xdr:twoCellAnchor>
    <xdr:from>
      <xdr:col>2</xdr:col>
      <xdr:colOff>428625</xdr:colOff>
      <xdr:row>4</xdr:row>
      <xdr:rowOff>66675</xdr:rowOff>
    </xdr:from>
    <xdr:to>
      <xdr:col>4</xdr:col>
      <xdr:colOff>133351</xdr:colOff>
      <xdr:row>5</xdr:row>
      <xdr:rowOff>133350</xdr:rowOff>
    </xdr:to>
    <xdr:sp macro="" textlink="">
      <xdr:nvSpPr>
        <xdr:cNvPr id="3" name="TextBox 2">
          <a:extLst>
            <a:ext uri="{FF2B5EF4-FFF2-40B4-BE49-F238E27FC236}">
              <a16:creationId xmlns:a16="http://schemas.microsoft.com/office/drawing/2014/main" id="{C88AAC91-BB0D-43C8-8494-D203B5B16317}"/>
            </a:ext>
          </a:extLst>
        </xdr:cNvPr>
        <xdr:cNvSpPr txBox="1"/>
      </xdr:nvSpPr>
      <xdr:spPr>
        <a:xfrm>
          <a:off x="1047750" y="247650"/>
          <a:ext cx="1076326" cy="24765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solidFill>
            </a:rPr>
            <a:t>Calls</a:t>
          </a:r>
        </a:p>
      </xdr:txBody>
    </xdr:sp>
    <xdr:clientData/>
  </xdr:twoCellAnchor>
  <xdr:twoCellAnchor editAs="oneCell">
    <xdr:from>
      <xdr:col>2</xdr:col>
      <xdr:colOff>85726</xdr:colOff>
      <xdr:row>4</xdr:row>
      <xdr:rowOff>38100</xdr:rowOff>
    </xdr:from>
    <xdr:to>
      <xdr:col>2</xdr:col>
      <xdr:colOff>342902</xdr:colOff>
      <xdr:row>5</xdr:row>
      <xdr:rowOff>104775</xdr:rowOff>
    </xdr:to>
    <xdr:pic>
      <xdr:nvPicPr>
        <xdr:cNvPr id="4" name="Graphic 3" descr="Receiver with solid fill">
          <a:extLst>
            <a:ext uri="{FF2B5EF4-FFF2-40B4-BE49-F238E27FC236}">
              <a16:creationId xmlns:a16="http://schemas.microsoft.com/office/drawing/2014/main" id="{EC0C06D7-0D76-4F90-A2C1-74FE715414A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04851" y="219075"/>
          <a:ext cx="257176" cy="247650"/>
        </a:xfrm>
        <a:prstGeom prst="rect">
          <a:avLst/>
        </a:prstGeom>
      </xdr:spPr>
    </xdr:pic>
    <xdr:clientData/>
  </xdr:twoCellAnchor>
  <xdr:twoCellAnchor>
    <xdr:from>
      <xdr:col>2</xdr:col>
      <xdr:colOff>395198</xdr:colOff>
      <xdr:row>7</xdr:row>
      <xdr:rowOff>104775</xdr:rowOff>
    </xdr:from>
    <xdr:to>
      <xdr:col>4</xdr:col>
      <xdr:colOff>147548</xdr:colOff>
      <xdr:row>8</xdr:row>
      <xdr:rowOff>133350</xdr:rowOff>
    </xdr:to>
    <xdr:sp macro="" textlink="Pivot!A9">
      <xdr:nvSpPr>
        <xdr:cNvPr id="5" name="TextBox 4">
          <a:extLst>
            <a:ext uri="{FF2B5EF4-FFF2-40B4-BE49-F238E27FC236}">
              <a16:creationId xmlns:a16="http://schemas.microsoft.com/office/drawing/2014/main" id="{623BF309-6F2C-422F-9ADE-006A3E78740E}"/>
            </a:ext>
          </a:extLst>
        </xdr:cNvPr>
        <xdr:cNvSpPr txBox="1"/>
      </xdr:nvSpPr>
      <xdr:spPr>
        <a:xfrm>
          <a:off x="1015222" y="1362794"/>
          <a:ext cx="1118199" cy="208292"/>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CD7AA90-8B1B-4191-AE96-0FC83FCB8515}" type="TxLink">
            <a:rPr lang="en-US" sz="1100" b="1" i="0" u="none" strike="noStrike">
              <a:solidFill>
                <a:schemeClr val="bg1"/>
              </a:solidFill>
              <a:latin typeface="Arial"/>
              <a:cs typeface="Arial"/>
            </a:rPr>
            <a:pPr algn="ctr"/>
            <a:t>189</a:t>
          </a:fld>
          <a:endParaRPr lang="en-IN" sz="1100" b="1">
            <a:solidFill>
              <a:schemeClr val="bg1"/>
            </a:solidFill>
          </a:endParaRPr>
        </a:p>
      </xdr:txBody>
    </xdr:sp>
    <xdr:clientData/>
  </xdr:twoCellAnchor>
  <xdr:twoCellAnchor>
    <xdr:from>
      <xdr:col>2</xdr:col>
      <xdr:colOff>19050</xdr:colOff>
      <xdr:row>10</xdr:row>
      <xdr:rowOff>114300</xdr:rowOff>
    </xdr:from>
    <xdr:to>
      <xdr:col>4</xdr:col>
      <xdr:colOff>314325</xdr:colOff>
      <xdr:row>15</xdr:row>
      <xdr:rowOff>123825</xdr:rowOff>
    </xdr:to>
    <xdr:sp macro="" textlink="Pivot!B4">
      <xdr:nvSpPr>
        <xdr:cNvPr id="6" name="Rectangle 5">
          <a:extLst>
            <a:ext uri="{FF2B5EF4-FFF2-40B4-BE49-F238E27FC236}">
              <a16:creationId xmlns:a16="http://schemas.microsoft.com/office/drawing/2014/main" id="{EE39CFB6-4794-49A2-8724-9F3DCF686AFB}"/>
            </a:ext>
          </a:extLst>
        </xdr:cNvPr>
        <xdr:cNvSpPr/>
      </xdr:nvSpPr>
      <xdr:spPr>
        <a:xfrm>
          <a:off x="638175" y="1381125"/>
          <a:ext cx="1666875" cy="914400"/>
        </a:xfrm>
        <a:prstGeom prst="rect">
          <a:avLst/>
        </a:prstGeom>
        <a:solidFill>
          <a:schemeClr val="accent6"/>
        </a:solidFill>
        <a:effectLst>
          <a:outerShdw blurRad="254000" dist="127000" dir="27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E79BC8B-0571-4211-A5AE-A4946B55487F}" type="TxLink">
            <a:rPr lang="en-US" sz="2400" b="1" i="0" u="none" strike="noStrike">
              <a:solidFill>
                <a:schemeClr val="bg1"/>
              </a:solidFill>
              <a:latin typeface="Arial"/>
              <a:ea typeface="+mn-ea"/>
              <a:cs typeface="Arial"/>
            </a:rPr>
            <a:pPr marL="0" indent="0" algn="ctr"/>
            <a:t>$96,623</a:t>
          </a:fld>
          <a:endParaRPr lang="en-US" sz="2400" b="1" i="0" u="none" strike="noStrike">
            <a:solidFill>
              <a:schemeClr val="bg1"/>
            </a:solidFill>
            <a:latin typeface="Arial"/>
            <a:ea typeface="+mn-ea"/>
            <a:cs typeface="Arial"/>
          </a:endParaRPr>
        </a:p>
      </xdr:txBody>
    </xdr:sp>
    <xdr:clientData/>
  </xdr:twoCellAnchor>
  <xdr:twoCellAnchor>
    <xdr:from>
      <xdr:col>2</xdr:col>
      <xdr:colOff>447675</xdr:colOff>
      <xdr:row>11</xdr:row>
      <xdr:rowOff>0</xdr:rowOff>
    </xdr:from>
    <xdr:to>
      <xdr:col>4</xdr:col>
      <xdr:colOff>152401</xdr:colOff>
      <xdr:row>12</xdr:row>
      <xdr:rowOff>76200</xdr:rowOff>
    </xdr:to>
    <xdr:sp macro="" textlink="">
      <xdr:nvSpPr>
        <xdr:cNvPr id="7" name="TextBox 6">
          <a:extLst>
            <a:ext uri="{FF2B5EF4-FFF2-40B4-BE49-F238E27FC236}">
              <a16:creationId xmlns:a16="http://schemas.microsoft.com/office/drawing/2014/main" id="{0BF931FA-A31A-4BA1-A3E1-AE2AF6EE5A71}"/>
            </a:ext>
          </a:extLst>
        </xdr:cNvPr>
        <xdr:cNvSpPr txBox="1"/>
      </xdr:nvSpPr>
      <xdr:spPr>
        <a:xfrm>
          <a:off x="1066800" y="1447800"/>
          <a:ext cx="1076326" cy="257175"/>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solidFill>
            </a:rPr>
            <a:t>Amount</a:t>
          </a:r>
        </a:p>
      </xdr:txBody>
    </xdr:sp>
    <xdr:clientData/>
  </xdr:twoCellAnchor>
  <xdr:twoCellAnchor editAs="oneCell">
    <xdr:from>
      <xdr:col>2</xdr:col>
      <xdr:colOff>109539</xdr:colOff>
      <xdr:row>10</xdr:row>
      <xdr:rowOff>152400</xdr:rowOff>
    </xdr:from>
    <xdr:to>
      <xdr:col>2</xdr:col>
      <xdr:colOff>357189</xdr:colOff>
      <xdr:row>12</xdr:row>
      <xdr:rowOff>38100</xdr:rowOff>
    </xdr:to>
    <xdr:pic>
      <xdr:nvPicPr>
        <xdr:cNvPr id="8" name="Graphic 7">
          <a:extLst>
            <a:ext uri="{FF2B5EF4-FFF2-40B4-BE49-F238E27FC236}">
              <a16:creationId xmlns:a16="http://schemas.microsoft.com/office/drawing/2014/main" id="{E8A3449D-BFAC-437D-B228-8ACF456BB01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728664" y="1419225"/>
          <a:ext cx="247650" cy="247650"/>
        </a:xfrm>
        <a:prstGeom prst="rect">
          <a:avLst/>
        </a:prstGeom>
      </xdr:spPr>
    </xdr:pic>
    <xdr:clientData/>
  </xdr:twoCellAnchor>
  <xdr:twoCellAnchor>
    <xdr:from>
      <xdr:col>2</xdr:col>
      <xdr:colOff>333376</xdr:colOff>
      <xdr:row>14</xdr:row>
      <xdr:rowOff>38100</xdr:rowOff>
    </xdr:from>
    <xdr:to>
      <xdr:col>4</xdr:col>
      <xdr:colOff>85726</xdr:colOff>
      <xdr:row>15</xdr:row>
      <xdr:rowOff>66675</xdr:rowOff>
    </xdr:to>
    <xdr:sp macro="" textlink="Pivot!B9">
      <xdr:nvSpPr>
        <xdr:cNvPr id="9" name="TextBox 8">
          <a:extLst>
            <a:ext uri="{FF2B5EF4-FFF2-40B4-BE49-F238E27FC236}">
              <a16:creationId xmlns:a16="http://schemas.microsoft.com/office/drawing/2014/main" id="{51BA4014-AA95-44A9-A88C-344164072F97}"/>
            </a:ext>
          </a:extLst>
        </xdr:cNvPr>
        <xdr:cNvSpPr txBox="1"/>
      </xdr:nvSpPr>
      <xdr:spPr>
        <a:xfrm>
          <a:off x="952501" y="2028825"/>
          <a:ext cx="1123950" cy="20955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ABA30C2-0DBF-4790-A77B-F7C1C4C98F96}" type="TxLink">
            <a:rPr lang="en-US" sz="1100" b="1" i="0" u="none" strike="noStrike">
              <a:solidFill>
                <a:schemeClr val="bg1"/>
              </a:solidFill>
              <a:latin typeface="Arial"/>
              <a:ea typeface="+mn-ea"/>
              <a:cs typeface="Arial"/>
            </a:rPr>
            <a:pPr marL="0" indent="0" algn="ctr"/>
            <a:t>$18,415</a:t>
          </a:fld>
          <a:endParaRPr lang="en-IN" sz="1100" b="1" i="0" u="none" strike="noStrike">
            <a:solidFill>
              <a:schemeClr val="bg1"/>
            </a:solidFill>
            <a:latin typeface="Arial"/>
            <a:ea typeface="+mn-ea"/>
            <a:cs typeface="Arial"/>
          </a:endParaRPr>
        </a:p>
      </xdr:txBody>
    </xdr:sp>
    <xdr:clientData/>
  </xdr:twoCellAnchor>
  <xdr:twoCellAnchor>
    <xdr:from>
      <xdr:col>2</xdr:col>
      <xdr:colOff>9525</xdr:colOff>
      <xdr:row>17</xdr:row>
      <xdr:rowOff>57150</xdr:rowOff>
    </xdr:from>
    <xdr:to>
      <xdr:col>4</xdr:col>
      <xdr:colOff>304800</xdr:colOff>
      <xdr:row>22</xdr:row>
      <xdr:rowOff>66675</xdr:rowOff>
    </xdr:to>
    <xdr:sp macro="" textlink="Pivot!C4">
      <xdr:nvSpPr>
        <xdr:cNvPr id="10" name="Rectangle 9">
          <a:extLst>
            <a:ext uri="{FF2B5EF4-FFF2-40B4-BE49-F238E27FC236}">
              <a16:creationId xmlns:a16="http://schemas.microsoft.com/office/drawing/2014/main" id="{564B7C99-8A44-428E-AAA5-59C6E2A70839}"/>
            </a:ext>
          </a:extLst>
        </xdr:cNvPr>
        <xdr:cNvSpPr/>
      </xdr:nvSpPr>
      <xdr:spPr>
        <a:xfrm>
          <a:off x="628650" y="2590800"/>
          <a:ext cx="1666875" cy="914400"/>
        </a:xfrm>
        <a:prstGeom prst="rect">
          <a:avLst/>
        </a:prstGeom>
        <a:solidFill>
          <a:schemeClr val="accent6"/>
        </a:solidFill>
        <a:effectLst>
          <a:outerShdw blurRad="254000" dist="127000" dir="27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65F2D70-F30D-48C5-8FF3-592134783BF3}" type="TxLink">
            <a:rPr lang="en-US" sz="2400" b="1" i="0" u="none" strike="noStrike">
              <a:solidFill>
                <a:schemeClr val="bg1"/>
              </a:solidFill>
              <a:latin typeface="Arial"/>
              <a:ea typeface="+mn-ea"/>
              <a:cs typeface="Arial"/>
            </a:rPr>
            <a:pPr marL="0" indent="0" algn="ctr"/>
            <a:t>89,850</a:t>
          </a:fld>
          <a:endParaRPr lang="en-US" sz="2400" b="1" i="0" u="none" strike="noStrike">
            <a:solidFill>
              <a:schemeClr val="bg1"/>
            </a:solidFill>
            <a:latin typeface="Arial"/>
            <a:ea typeface="+mn-ea"/>
            <a:cs typeface="Arial"/>
          </a:endParaRPr>
        </a:p>
      </xdr:txBody>
    </xdr:sp>
    <xdr:clientData/>
  </xdr:twoCellAnchor>
  <xdr:twoCellAnchor>
    <xdr:from>
      <xdr:col>2</xdr:col>
      <xdr:colOff>438150</xdr:colOff>
      <xdr:row>17</xdr:row>
      <xdr:rowOff>123826</xdr:rowOff>
    </xdr:from>
    <xdr:to>
      <xdr:col>4</xdr:col>
      <xdr:colOff>142876</xdr:colOff>
      <xdr:row>18</xdr:row>
      <xdr:rowOff>150892</xdr:rowOff>
    </xdr:to>
    <xdr:sp macro="" textlink="">
      <xdr:nvSpPr>
        <xdr:cNvPr id="11" name="TextBox 10">
          <a:extLst>
            <a:ext uri="{FF2B5EF4-FFF2-40B4-BE49-F238E27FC236}">
              <a16:creationId xmlns:a16="http://schemas.microsoft.com/office/drawing/2014/main" id="{8FB3A772-7FB7-438C-9A9C-73971A0D2D42}"/>
            </a:ext>
          </a:extLst>
        </xdr:cNvPr>
        <xdr:cNvSpPr txBox="1"/>
      </xdr:nvSpPr>
      <xdr:spPr>
        <a:xfrm>
          <a:off x="1051145" y="2632390"/>
          <a:ext cx="1081607" cy="20625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solidFill>
            </a:rPr>
            <a:t>Duration</a:t>
          </a:r>
        </a:p>
      </xdr:txBody>
    </xdr:sp>
    <xdr:clientData/>
  </xdr:twoCellAnchor>
  <xdr:twoCellAnchor editAs="oneCell">
    <xdr:from>
      <xdr:col>2</xdr:col>
      <xdr:colOff>100014</xdr:colOff>
      <xdr:row>17</xdr:row>
      <xdr:rowOff>95250</xdr:rowOff>
    </xdr:from>
    <xdr:to>
      <xdr:col>2</xdr:col>
      <xdr:colOff>347664</xdr:colOff>
      <xdr:row>18</xdr:row>
      <xdr:rowOff>152939</xdr:rowOff>
    </xdr:to>
    <xdr:pic>
      <xdr:nvPicPr>
        <xdr:cNvPr id="12" name="Graphic 11">
          <a:extLst>
            <a:ext uri="{FF2B5EF4-FFF2-40B4-BE49-F238E27FC236}">
              <a16:creationId xmlns:a16="http://schemas.microsoft.com/office/drawing/2014/main" id="{579B0C55-192E-45F1-B319-8C62E2174E2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719139" y="2628900"/>
          <a:ext cx="247650" cy="247650"/>
        </a:xfrm>
        <a:prstGeom prst="rect">
          <a:avLst/>
        </a:prstGeom>
      </xdr:spPr>
    </xdr:pic>
    <xdr:clientData/>
  </xdr:twoCellAnchor>
  <xdr:twoCellAnchor>
    <xdr:from>
      <xdr:col>2</xdr:col>
      <xdr:colOff>323851</xdr:colOff>
      <xdr:row>20</xdr:row>
      <xdr:rowOff>161925</xdr:rowOff>
    </xdr:from>
    <xdr:to>
      <xdr:col>4</xdr:col>
      <xdr:colOff>76201</xdr:colOff>
      <xdr:row>22</xdr:row>
      <xdr:rowOff>9525</xdr:rowOff>
    </xdr:to>
    <xdr:sp macro="" textlink="Pivot!C9">
      <xdr:nvSpPr>
        <xdr:cNvPr id="13" name="TextBox 12">
          <a:extLst>
            <a:ext uri="{FF2B5EF4-FFF2-40B4-BE49-F238E27FC236}">
              <a16:creationId xmlns:a16="http://schemas.microsoft.com/office/drawing/2014/main" id="{10F25438-AF38-4CEE-BABB-F34B6DDAEFE5}"/>
            </a:ext>
          </a:extLst>
        </xdr:cNvPr>
        <xdr:cNvSpPr txBox="1"/>
      </xdr:nvSpPr>
      <xdr:spPr>
        <a:xfrm>
          <a:off x="942976" y="3238500"/>
          <a:ext cx="1123950" cy="20955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C8AC7D1-753B-4C40-8802-0FCF8A54DB15}" type="TxLink">
            <a:rPr lang="en-US" sz="1100" b="1" i="0" u="none" strike="noStrike">
              <a:solidFill>
                <a:schemeClr val="bg1"/>
              </a:solidFill>
              <a:latin typeface="Arial"/>
              <a:ea typeface="+mn-ea"/>
              <a:cs typeface="Arial"/>
            </a:rPr>
            <a:pPr marL="0" indent="0" algn="ctr"/>
            <a:t>16,834</a:t>
          </a:fld>
          <a:endParaRPr lang="en-IN" sz="1100" b="1" i="0" u="none" strike="noStrike">
            <a:solidFill>
              <a:schemeClr val="bg1"/>
            </a:solidFill>
            <a:latin typeface="Arial"/>
            <a:ea typeface="+mn-ea"/>
            <a:cs typeface="Arial"/>
          </a:endParaRPr>
        </a:p>
      </xdr:txBody>
    </xdr:sp>
    <xdr:clientData/>
  </xdr:twoCellAnchor>
  <xdr:twoCellAnchor>
    <xdr:from>
      <xdr:col>2</xdr:col>
      <xdr:colOff>9525</xdr:colOff>
      <xdr:row>23</xdr:row>
      <xdr:rowOff>142875</xdr:rowOff>
    </xdr:from>
    <xdr:to>
      <xdr:col>4</xdr:col>
      <xdr:colOff>304800</xdr:colOff>
      <xdr:row>28</xdr:row>
      <xdr:rowOff>152400</xdr:rowOff>
    </xdr:to>
    <xdr:sp macro="" textlink="Pivot!D4">
      <xdr:nvSpPr>
        <xdr:cNvPr id="14" name="Rectangle 13">
          <a:extLst>
            <a:ext uri="{FF2B5EF4-FFF2-40B4-BE49-F238E27FC236}">
              <a16:creationId xmlns:a16="http://schemas.microsoft.com/office/drawing/2014/main" id="{98C5BA55-16FD-4531-B5F2-2698EE4625B4}"/>
            </a:ext>
          </a:extLst>
        </xdr:cNvPr>
        <xdr:cNvSpPr/>
      </xdr:nvSpPr>
      <xdr:spPr>
        <a:xfrm>
          <a:off x="628650" y="3762375"/>
          <a:ext cx="1666875" cy="914400"/>
        </a:xfrm>
        <a:prstGeom prst="rect">
          <a:avLst/>
        </a:prstGeom>
        <a:solidFill>
          <a:schemeClr val="accent6"/>
        </a:solidFill>
        <a:effectLst>
          <a:outerShdw blurRad="254000" dist="127000" dir="27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64DF14F-4579-4AE5-A9AA-8AB7CB9E0649}" type="TxLink">
            <a:rPr lang="en-US" sz="2400" b="1" i="0" u="none" strike="noStrike">
              <a:solidFill>
                <a:schemeClr val="bg1"/>
              </a:solidFill>
              <a:latin typeface="Arial"/>
              <a:ea typeface="+mn-ea"/>
              <a:cs typeface="Arial"/>
            </a:rPr>
            <a:pPr marL="0" indent="0" algn="ctr"/>
            <a:t>3.9</a:t>
          </a:fld>
          <a:endParaRPr lang="en-US" sz="2400" b="1" i="0" u="none" strike="noStrike">
            <a:solidFill>
              <a:schemeClr val="bg1"/>
            </a:solidFill>
            <a:latin typeface="Arial"/>
            <a:ea typeface="+mn-ea"/>
            <a:cs typeface="Arial"/>
          </a:endParaRPr>
        </a:p>
      </xdr:txBody>
    </xdr:sp>
    <xdr:clientData/>
  </xdr:twoCellAnchor>
  <xdr:twoCellAnchor>
    <xdr:from>
      <xdr:col>2</xdr:col>
      <xdr:colOff>180976</xdr:colOff>
      <xdr:row>24</xdr:row>
      <xdr:rowOff>28575</xdr:rowOff>
    </xdr:from>
    <xdr:to>
      <xdr:col>4</xdr:col>
      <xdr:colOff>142876</xdr:colOff>
      <xdr:row>25</xdr:row>
      <xdr:rowOff>66675</xdr:rowOff>
    </xdr:to>
    <xdr:sp macro="" textlink="">
      <xdr:nvSpPr>
        <xdr:cNvPr id="15" name="TextBox 14">
          <a:extLst>
            <a:ext uri="{FF2B5EF4-FFF2-40B4-BE49-F238E27FC236}">
              <a16:creationId xmlns:a16="http://schemas.microsoft.com/office/drawing/2014/main" id="{2A601BDA-6019-4283-BB91-ED6680E0BCEA}"/>
            </a:ext>
          </a:extLst>
        </xdr:cNvPr>
        <xdr:cNvSpPr txBox="1"/>
      </xdr:nvSpPr>
      <xdr:spPr>
        <a:xfrm>
          <a:off x="800101" y="3829050"/>
          <a:ext cx="1333500" cy="219075"/>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solidFill>
            </a:rPr>
            <a:t>AVG</a:t>
          </a:r>
          <a:r>
            <a:rPr lang="en-IN" sz="1100" b="1" baseline="0">
              <a:solidFill>
                <a:schemeClr val="bg1"/>
              </a:solidFill>
            </a:rPr>
            <a:t> Rating</a:t>
          </a:r>
          <a:endParaRPr lang="en-IN" sz="1100" b="1">
            <a:solidFill>
              <a:schemeClr val="bg1"/>
            </a:solidFill>
          </a:endParaRPr>
        </a:p>
      </xdr:txBody>
    </xdr:sp>
    <xdr:clientData/>
  </xdr:twoCellAnchor>
  <xdr:twoCellAnchor editAs="oneCell">
    <xdr:from>
      <xdr:col>2</xdr:col>
      <xdr:colOff>100014</xdr:colOff>
      <xdr:row>24</xdr:row>
      <xdr:rowOff>0</xdr:rowOff>
    </xdr:from>
    <xdr:to>
      <xdr:col>2</xdr:col>
      <xdr:colOff>347664</xdr:colOff>
      <xdr:row>25</xdr:row>
      <xdr:rowOff>66675</xdr:rowOff>
    </xdr:to>
    <xdr:pic>
      <xdr:nvPicPr>
        <xdr:cNvPr id="16" name="Graphic 15">
          <a:extLst>
            <a:ext uri="{FF2B5EF4-FFF2-40B4-BE49-F238E27FC236}">
              <a16:creationId xmlns:a16="http://schemas.microsoft.com/office/drawing/2014/main" id="{ACD5DFF5-A872-4EFB-A78F-6AD885B0220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719139" y="3800475"/>
          <a:ext cx="247650" cy="247650"/>
        </a:xfrm>
        <a:prstGeom prst="rect">
          <a:avLst/>
        </a:prstGeom>
      </xdr:spPr>
    </xdr:pic>
    <xdr:clientData/>
  </xdr:twoCellAnchor>
  <xdr:twoCellAnchor>
    <xdr:from>
      <xdr:col>2</xdr:col>
      <xdr:colOff>323851</xdr:colOff>
      <xdr:row>27</xdr:row>
      <xdr:rowOff>66675</xdr:rowOff>
    </xdr:from>
    <xdr:to>
      <xdr:col>4</xdr:col>
      <xdr:colOff>76201</xdr:colOff>
      <xdr:row>28</xdr:row>
      <xdr:rowOff>95250</xdr:rowOff>
    </xdr:to>
    <xdr:sp macro="" textlink="Pivot!D9">
      <xdr:nvSpPr>
        <xdr:cNvPr id="17" name="TextBox 16">
          <a:extLst>
            <a:ext uri="{FF2B5EF4-FFF2-40B4-BE49-F238E27FC236}">
              <a16:creationId xmlns:a16="http://schemas.microsoft.com/office/drawing/2014/main" id="{38FCEB30-A569-4463-888A-78D18CD75FAC}"/>
            </a:ext>
          </a:extLst>
        </xdr:cNvPr>
        <xdr:cNvSpPr txBox="1"/>
      </xdr:nvSpPr>
      <xdr:spPr>
        <a:xfrm>
          <a:off x="942976" y="4410075"/>
          <a:ext cx="1123950" cy="20955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D69A232-5C57-4807-8102-FE1A6F19CE25}" type="TxLink">
            <a:rPr lang="en-US" sz="1100" b="1" i="0" u="none" strike="noStrike">
              <a:solidFill>
                <a:schemeClr val="bg1"/>
              </a:solidFill>
              <a:latin typeface="Arial"/>
              <a:ea typeface="+mn-ea"/>
              <a:cs typeface="Arial"/>
            </a:rPr>
            <a:pPr marL="0" indent="0" algn="ctr"/>
            <a:t>3.9</a:t>
          </a:fld>
          <a:endParaRPr lang="en-IN" sz="1100" b="1" i="0" u="none" strike="noStrike">
            <a:solidFill>
              <a:schemeClr val="bg1"/>
            </a:solidFill>
            <a:latin typeface="Arial"/>
            <a:ea typeface="+mn-ea"/>
            <a:cs typeface="Arial"/>
          </a:endParaRPr>
        </a:p>
      </xdr:txBody>
    </xdr:sp>
    <xdr:clientData/>
  </xdr:twoCellAnchor>
  <xdr:twoCellAnchor>
    <xdr:from>
      <xdr:col>2</xdr:col>
      <xdr:colOff>0</xdr:colOff>
      <xdr:row>30</xdr:row>
      <xdr:rowOff>123825</xdr:rowOff>
    </xdr:from>
    <xdr:to>
      <xdr:col>4</xdr:col>
      <xdr:colOff>295275</xdr:colOff>
      <xdr:row>35</xdr:row>
      <xdr:rowOff>133350</xdr:rowOff>
    </xdr:to>
    <xdr:sp macro="" textlink="Pivot!E4">
      <xdr:nvSpPr>
        <xdr:cNvPr id="18" name="Rectangle 17">
          <a:extLst>
            <a:ext uri="{FF2B5EF4-FFF2-40B4-BE49-F238E27FC236}">
              <a16:creationId xmlns:a16="http://schemas.microsoft.com/office/drawing/2014/main" id="{B2A47A7A-81E9-4A19-9575-156EE05F197C}"/>
            </a:ext>
          </a:extLst>
        </xdr:cNvPr>
        <xdr:cNvSpPr/>
      </xdr:nvSpPr>
      <xdr:spPr>
        <a:xfrm>
          <a:off x="619125" y="5010150"/>
          <a:ext cx="1666875" cy="914400"/>
        </a:xfrm>
        <a:prstGeom prst="rect">
          <a:avLst/>
        </a:prstGeom>
        <a:solidFill>
          <a:schemeClr val="accent6"/>
        </a:solidFill>
        <a:effectLst>
          <a:outerShdw blurRad="254000" dist="127000" dir="27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8DAEEDEB-9E64-4A6C-A939-4D8CF52E7A7A}" type="TxLink">
            <a:rPr lang="en-US" sz="2400" b="1" i="0" u="none" strike="noStrike">
              <a:solidFill>
                <a:schemeClr val="bg1"/>
              </a:solidFill>
              <a:latin typeface="Arial"/>
              <a:ea typeface="+mn-ea"/>
              <a:cs typeface="Arial"/>
            </a:rPr>
            <a:pPr marL="0" indent="0" algn="ctr"/>
            <a:t>307</a:t>
          </a:fld>
          <a:endParaRPr lang="en-US" sz="2400" b="1" i="0" u="none" strike="noStrike">
            <a:solidFill>
              <a:schemeClr val="bg1"/>
            </a:solidFill>
            <a:latin typeface="Arial"/>
            <a:ea typeface="+mn-ea"/>
            <a:cs typeface="Arial"/>
          </a:endParaRPr>
        </a:p>
      </xdr:txBody>
    </xdr:sp>
    <xdr:clientData/>
  </xdr:twoCellAnchor>
  <xdr:twoCellAnchor>
    <xdr:from>
      <xdr:col>2</xdr:col>
      <xdr:colOff>380999</xdr:colOff>
      <xdr:row>31</xdr:row>
      <xdr:rowOff>9526</xdr:rowOff>
    </xdr:from>
    <xdr:to>
      <xdr:col>4</xdr:col>
      <xdr:colOff>133350</xdr:colOff>
      <xdr:row>32</xdr:row>
      <xdr:rowOff>76200</xdr:rowOff>
    </xdr:to>
    <xdr:sp macro="" textlink="">
      <xdr:nvSpPr>
        <xdr:cNvPr id="19" name="TextBox 18">
          <a:extLst>
            <a:ext uri="{FF2B5EF4-FFF2-40B4-BE49-F238E27FC236}">
              <a16:creationId xmlns:a16="http://schemas.microsoft.com/office/drawing/2014/main" id="{E8D0CF83-2D6E-445C-9DF2-05F31B3CFD4A}"/>
            </a:ext>
          </a:extLst>
        </xdr:cNvPr>
        <xdr:cNvSpPr txBox="1"/>
      </xdr:nvSpPr>
      <xdr:spPr>
        <a:xfrm>
          <a:off x="1000124" y="5076826"/>
          <a:ext cx="1123951" cy="247649"/>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solidFill>
            </a:rPr>
            <a:t>Happy</a:t>
          </a:r>
          <a:r>
            <a:rPr lang="en-IN" sz="1100" b="1" baseline="0">
              <a:solidFill>
                <a:schemeClr val="bg1"/>
              </a:solidFill>
            </a:rPr>
            <a:t> Callers</a:t>
          </a:r>
          <a:endParaRPr lang="en-IN" sz="1100" b="1">
            <a:solidFill>
              <a:schemeClr val="bg1"/>
            </a:solidFill>
          </a:endParaRPr>
        </a:p>
      </xdr:txBody>
    </xdr:sp>
    <xdr:clientData/>
  </xdr:twoCellAnchor>
  <xdr:twoCellAnchor editAs="oneCell">
    <xdr:from>
      <xdr:col>2</xdr:col>
      <xdr:colOff>90489</xdr:colOff>
      <xdr:row>30</xdr:row>
      <xdr:rowOff>161925</xdr:rowOff>
    </xdr:from>
    <xdr:to>
      <xdr:col>2</xdr:col>
      <xdr:colOff>338139</xdr:colOff>
      <xdr:row>32</xdr:row>
      <xdr:rowOff>47625</xdr:rowOff>
    </xdr:to>
    <xdr:pic>
      <xdr:nvPicPr>
        <xdr:cNvPr id="20" name="Graphic 19">
          <a:extLst>
            <a:ext uri="{FF2B5EF4-FFF2-40B4-BE49-F238E27FC236}">
              <a16:creationId xmlns:a16="http://schemas.microsoft.com/office/drawing/2014/main" id="{1AE9F4DF-B0C3-4A8D-9FA9-7A40F646B255}"/>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9614" y="5048250"/>
          <a:ext cx="247650" cy="247650"/>
        </a:xfrm>
        <a:prstGeom prst="rect">
          <a:avLst/>
        </a:prstGeom>
      </xdr:spPr>
    </xdr:pic>
    <xdr:clientData/>
  </xdr:twoCellAnchor>
  <xdr:twoCellAnchor>
    <xdr:from>
      <xdr:col>2</xdr:col>
      <xdr:colOff>314326</xdr:colOff>
      <xdr:row>34</xdr:row>
      <xdr:rowOff>47625</xdr:rowOff>
    </xdr:from>
    <xdr:to>
      <xdr:col>4</xdr:col>
      <xdr:colOff>66676</xdr:colOff>
      <xdr:row>35</xdr:row>
      <xdr:rowOff>76200</xdr:rowOff>
    </xdr:to>
    <xdr:sp macro="" textlink="Pivot!E9">
      <xdr:nvSpPr>
        <xdr:cNvPr id="21" name="TextBox 20">
          <a:extLst>
            <a:ext uri="{FF2B5EF4-FFF2-40B4-BE49-F238E27FC236}">
              <a16:creationId xmlns:a16="http://schemas.microsoft.com/office/drawing/2014/main" id="{CED9283F-9839-4DCD-9894-449EB8F66DBD}"/>
            </a:ext>
          </a:extLst>
        </xdr:cNvPr>
        <xdr:cNvSpPr txBox="1"/>
      </xdr:nvSpPr>
      <xdr:spPr>
        <a:xfrm>
          <a:off x="933451" y="5657850"/>
          <a:ext cx="1123950" cy="20955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BC45F45-B91D-418C-95F6-1C54679767AC}" type="TxLink">
            <a:rPr lang="en-US" sz="1100" b="1" i="0" u="none" strike="noStrike">
              <a:solidFill>
                <a:schemeClr val="bg1"/>
              </a:solidFill>
              <a:latin typeface="Arial"/>
              <a:ea typeface="+mn-ea"/>
              <a:cs typeface="Arial"/>
            </a:rPr>
            <a:pPr marL="0" indent="0" algn="ctr"/>
            <a:t>60</a:t>
          </a:fld>
          <a:endParaRPr lang="en-IN" sz="1100" b="1" i="0" u="none" strike="noStrike">
            <a:solidFill>
              <a:schemeClr val="bg1"/>
            </a:solidFill>
            <a:latin typeface="Arial"/>
            <a:ea typeface="+mn-ea"/>
            <a:cs typeface="Arial"/>
          </a:endParaRPr>
        </a:p>
      </xdr:txBody>
    </xdr:sp>
    <xdr:clientData/>
  </xdr:twoCellAnchor>
  <xdr:twoCellAnchor>
    <xdr:from>
      <xdr:col>4</xdr:col>
      <xdr:colOff>490397</xdr:colOff>
      <xdr:row>4</xdr:row>
      <xdr:rowOff>0</xdr:rowOff>
    </xdr:from>
    <xdr:to>
      <xdr:col>11</xdr:col>
      <xdr:colOff>292352</xdr:colOff>
      <xdr:row>16</xdr:row>
      <xdr:rowOff>0</xdr:rowOff>
    </xdr:to>
    <xdr:graphicFrame macro="">
      <xdr:nvGraphicFramePr>
        <xdr:cNvPr id="24" name="Chart 23">
          <a:extLst>
            <a:ext uri="{FF2B5EF4-FFF2-40B4-BE49-F238E27FC236}">
              <a16:creationId xmlns:a16="http://schemas.microsoft.com/office/drawing/2014/main" id="{CABE2BFB-FBC0-461F-A78A-564D8F2DAD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456824</xdr:colOff>
      <xdr:row>17</xdr:row>
      <xdr:rowOff>18861</xdr:rowOff>
    </xdr:from>
    <xdr:to>
      <xdr:col>10</xdr:col>
      <xdr:colOff>141460</xdr:colOff>
      <xdr:row>35</xdr:row>
      <xdr:rowOff>132030</xdr:rowOff>
    </xdr:to>
    <xdr:graphicFrame macro="">
      <xdr:nvGraphicFramePr>
        <xdr:cNvPr id="26" name="Chart 25">
          <a:extLst>
            <a:ext uri="{FF2B5EF4-FFF2-40B4-BE49-F238E27FC236}">
              <a16:creationId xmlns:a16="http://schemas.microsoft.com/office/drawing/2014/main" id="{C2858E8E-1269-4125-B51D-1FF1E6A9A4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243332</xdr:colOff>
      <xdr:row>3</xdr:row>
      <xdr:rowOff>172510</xdr:rowOff>
    </xdr:from>
    <xdr:to>
      <xdr:col>18</xdr:col>
      <xdr:colOff>449293</xdr:colOff>
      <xdr:row>15</xdr:row>
      <xdr:rowOff>124823</xdr:rowOff>
    </xdr:to>
    <xdr:graphicFrame macro="">
      <xdr:nvGraphicFramePr>
        <xdr:cNvPr id="29" name="Chart 28">
          <a:extLst>
            <a:ext uri="{FF2B5EF4-FFF2-40B4-BE49-F238E27FC236}">
              <a16:creationId xmlns:a16="http://schemas.microsoft.com/office/drawing/2014/main" id="{047746EE-D4EE-4BC8-8AEA-506D2F3358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611038</xdr:colOff>
      <xdr:row>4</xdr:row>
      <xdr:rowOff>37722</xdr:rowOff>
    </xdr:from>
    <xdr:to>
      <xdr:col>23</xdr:col>
      <xdr:colOff>521179</xdr:colOff>
      <xdr:row>15</xdr:row>
      <xdr:rowOff>132030</xdr:rowOff>
    </xdr:to>
    <xdr:graphicFrame macro="">
      <xdr:nvGraphicFramePr>
        <xdr:cNvPr id="30" name="Chart 29">
          <a:extLst>
            <a:ext uri="{FF2B5EF4-FFF2-40B4-BE49-F238E27FC236}">
              <a16:creationId xmlns:a16="http://schemas.microsoft.com/office/drawing/2014/main" id="{4862D669-C05C-4521-BE4D-7AB9640AE6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2516</xdr:colOff>
      <xdr:row>0</xdr:row>
      <xdr:rowOff>44928</xdr:rowOff>
    </xdr:from>
    <xdr:to>
      <xdr:col>11</xdr:col>
      <xdr:colOff>26958</xdr:colOff>
      <xdr:row>3</xdr:row>
      <xdr:rowOff>89858</xdr:rowOff>
    </xdr:to>
    <xdr:sp macro="" textlink="">
      <xdr:nvSpPr>
        <xdr:cNvPr id="32" name="TextBox 31">
          <a:extLst>
            <a:ext uri="{FF2B5EF4-FFF2-40B4-BE49-F238E27FC236}">
              <a16:creationId xmlns:a16="http://schemas.microsoft.com/office/drawing/2014/main" id="{66258E07-7D0F-EFD6-7AB1-82A922D6EFBE}"/>
            </a:ext>
          </a:extLst>
        </xdr:cNvPr>
        <xdr:cNvSpPr txBox="1"/>
      </xdr:nvSpPr>
      <xdr:spPr>
        <a:xfrm>
          <a:off x="326007" y="44928"/>
          <a:ext cx="6170762" cy="584081"/>
        </a:xfrm>
        <a:prstGeom prst="rect">
          <a:avLst/>
        </a:prstGeom>
        <a:solidFill>
          <a:schemeClr val="accent6"/>
        </a:solidFill>
        <a:ln w="9525" cmpd="sng">
          <a:solidFill>
            <a:schemeClr val="lt1">
              <a:shade val="50000"/>
            </a:schemeClr>
          </a:solidFill>
        </a:ln>
        <a:effectLst>
          <a:outerShdw blurRad="50800" dist="50800" dir="5400000" algn="ctr" rotWithShape="0">
            <a:schemeClr val="bg1">
              <a:lumMod val="85000"/>
              <a:alpha val="98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a:solidFill>
                <a:schemeClr val="bg1"/>
              </a:solidFill>
            </a:rPr>
            <a:t>CALL CENTRE</a:t>
          </a:r>
          <a:r>
            <a:rPr lang="en-IN" sz="3200" baseline="0">
              <a:solidFill>
                <a:schemeClr val="bg1"/>
              </a:solidFill>
            </a:rPr>
            <a:t> REPORT - 2023</a:t>
          </a:r>
          <a:endParaRPr lang="en-IN" sz="3200">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165402</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305957</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24848</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13</xdr:row>
      <xdr:rowOff>4016</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173194</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ejaswini Shetty" refreshedDate="45728.803896064812" backgroundQuery="1" createdVersion="8" refreshedVersion="8" minRefreshableVersion="3" recordCount="0" supportSubquery="1" supportAdvancedDrill="1" xr:uid="{D77BC038-D435-4B31-8523-0228B3769E06}">
  <cacheSource type="external" connectionId="1"/>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Calls]" caption="5* Calls" numFmtId="0" hierarchy="21"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ejaswini Shetty" refreshedDate="45728.82297361111" backgroundQuery="1" createdVersion="8" refreshedVersion="8" minRefreshableVersion="3" recordCount="0" supportSubquery="1" supportAdvancedDrill="1" xr:uid="{EB561F94-D090-4D9C-BC63-C9945853D9B5}">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ejaswini Shetty" refreshedDate="45728.867013773146" backgroundQuery="1" createdVersion="8" refreshedVersion="8" minRefreshableVersion="3" recordCount="0" supportSubquery="1" supportAdvancedDrill="1" xr:uid="{85CA45A9-7F2F-4F6B-8C41-285BF3A4D852}">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ejaswini Shetty" refreshedDate="45728.904239583331" backgroundQuery="1" createdVersion="8" refreshedVersion="8" minRefreshableVersion="3" recordCount="0" supportSubquery="1" supportAdvancedDrill="1" xr:uid="{35D22EAE-6D9A-49AD-A6BE-B497C7642119}">
  <cacheSource type="external" connectionId="1"/>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Measures].[Total Amount]" caption="Total Amount" numFmtId="0" hierarchy="18" level="32767"/>
    <cacheField name="[calls].[Customer ID].[Customer ID]" caption="Customer ID" numFmtId="0" hierarchy="1" level="1">
      <sharedItems count="15">
        <s v="C0003"/>
        <s v="C0004"/>
        <s v="C0011"/>
        <s v="C0012"/>
        <s v="C0002"/>
        <s v="C0007"/>
        <s v="C0008"/>
        <s v="C0010"/>
        <s v="C0013"/>
        <s v="C0015"/>
        <s v="C0001"/>
        <s v="C0005"/>
        <s v="C0006"/>
        <s v="C0009"/>
        <s v="C0014"/>
      </sharedItems>
    </cacheField>
  </cacheFields>
  <cacheHierarchies count="25">
    <cacheHierarchy uniqueName="[calls].[Call number]" caption="Call number" attribute="1" defaultMemberUniqueName="[calls].[Call number].[All]" allUniqueName="[calls].[Call number].[All]" dimensionUniqueName="[calls]" displayFolder="" count="2" memberValueDatatype="130" unbalanced="0"/>
    <cacheHierarchy uniqueName="[calls].[Customer ID]" caption="Customer ID" attribute="1" defaultMemberUniqueName="[calls].[Customer ID].[All]" allUniqueName="[calls].[Customer ID].[All]" dimensionUniqueName="[calls]" displayFolder="" count="2" memberValueDatatype="130" unbalanced="0">
      <fieldsUsage count="2">
        <fieldUsage x="-1"/>
        <fieldUsage x="3"/>
      </fieldsUsage>
    </cacheHierarchy>
    <cacheHierarchy uniqueName="[calls].[Duration]" caption="Duration" attribute="1" defaultMemberUniqueName="[calls].[Duration].[All]" allUniqueName="[calls].[Duration].[All]" dimensionUniqueName="[calls]" displayFolder="" count="2"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cacheHierarchy uniqueName="[calls].[Purchase Amount]" caption="Purchase Amount" attribute="1" defaultMemberUniqueName="[calls].[Purchase Amount].[All]" allUniqueName="[calls].[Purchase Amount].[All]" dimensionUniqueName="[calls]" displayFolder="" count="2" memberValueDatatype="20" unbalanced="0"/>
    <cacheHierarchy uniqueName="[calls].[Satisfaction Rating]" caption="Satisfaction Rating" attribute="1" defaultMemberUniqueName="[calls].[Satisfaction Rating].[All]" allUniqueName="[calls].[Satisfaction Rating].[All]" dimensionUniqueName="[calls]" displayFolder="" count="2" memberValueDatatype="5" unbalanced="0"/>
    <cacheHierarchy uniqueName="[calls].[FY]" caption="FY" attribute="1" defaultMemberUniqueName="[calls].[FY].[All]" allUniqueName="[calls].[FY].[All]" dimensionUniqueName="[calls]" displayFolder="" count="2" memberValueDatatype="20" unbalanced="0"/>
    <cacheHierarchy uniqueName="[calls].[Day of week]" caption="Day of week" attribute="1" defaultMemberUniqueName="[calls].[Day of week].[All]" allUniqueName="[calls].[Day of week].[All]" dimensionUniqueName="[calls]" displayFolder="" count="2" memberValueDatatype="130" unbalanced="0"/>
    <cacheHierarchy uniqueName="[calls].[Duration Bucket]" caption="Duration Bucket" attribute="1" defaultMemberUniqueName="[calls].[Duration Bucket].[All]" allUniqueName="[calls].[Duration Bucket].[All]" dimensionUniqueName="[calls]" displayFolder="" count="2"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2"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2"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ejaswini Shetty" refreshedDate="45728.926523263886" backgroundQuery="1" createdVersion="8" refreshedVersion="8" minRefreshableVersion="3" recordCount="0" supportSubquery="1" supportAdvancedDrill="1" xr:uid="{DA862AF8-8DC1-4061-B449-C1995EFCA73D}">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ejaswini Shetty" refreshedDate="45728.926523842594" backgroundQuery="1" createdVersion="8" refreshedVersion="8" minRefreshableVersion="3" recordCount="0" supportSubquery="1" supportAdvancedDrill="1" xr:uid="{C2600EF4-DE0B-4602-8FC5-A92118DB7569}">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3T00:00:00" maxDate="2023-12-31T00:00:00" count="147">
        <d v="2023-01-03T00:00:00"/>
        <d v="2023-01-07T00:00:00"/>
        <d v="2023-01-08T00:00:00"/>
        <d v="2023-01-10T00:00:00"/>
        <d v="2023-01-17T00:00:00"/>
        <d v="2023-01-21T00:00:00"/>
        <d v="2023-01-24T00:00:00"/>
        <d v="2023-01-25T00:00:00"/>
        <d v="2023-01-27T00:00:00"/>
        <d v="2023-02-01T00:00:00"/>
        <d v="2023-02-07T00:00:00"/>
        <d v="2023-02-11T00:00:00"/>
        <d v="2023-02-13T00:00:00"/>
        <d v="2023-02-14T00:00:00"/>
        <d v="2023-02-15T00:00:00"/>
        <d v="2023-02-21T00:00:00"/>
        <d v="2023-02-23T00:00:00"/>
        <d v="2023-02-26T00:00:00"/>
        <d v="2023-02-28T00:00:00"/>
        <d v="2023-03-01T00:00:00"/>
        <d v="2023-03-02T00:00:00"/>
        <d v="2023-03-04T00:00:00"/>
        <d v="2023-03-06T00:00:00"/>
        <d v="2023-03-07T00:00:00"/>
        <d v="2023-03-10T00:00:00"/>
        <d v="2023-03-11T00:00:00"/>
        <d v="2023-03-12T00:00:00"/>
        <d v="2023-03-13T00:00:00"/>
        <d v="2023-03-14T00:00:00"/>
        <d v="2023-03-15T00:00:00"/>
        <d v="2023-03-16T00:00:00"/>
        <d v="2023-03-18T00:00:00"/>
        <d v="2023-03-21T00:00:00"/>
        <d v="2023-03-22T00:00:00"/>
        <d v="2023-03-23T00:00:00"/>
        <d v="2023-03-24T00:00:00"/>
        <d v="2023-03-26T00:00:00"/>
        <d v="2023-03-27T00:00:00"/>
        <d v="2023-03-29T00:00:00"/>
        <d v="2023-04-03T00:00:00"/>
        <d v="2023-04-07T00:00:00"/>
        <d v="2023-04-08T00:00:00"/>
        <d v="2023-04-09T00:00:00"/>
        <d v="2023-04-10T00:00:00"/>
        <d v="2023-04-11T00:00:00"/>
        <d v="2023-04-14T00:00:00"/>
        <d v="2023-04-16T00:00:00"/>
        <d v="2023-04-17T00:00:00"/>
        <d v="2023-04-21T00:00:00"/>
        <d v="2023-04-22T00:00:00"/>
        <d v="2023-04-23T00:00:00"/>
        <d v="2023-04-24T00:00:00"/>
        <d v="2023-04-27T00:00:00"/>
        <d v="2023-04-28T00:00:00"/>
        <d v="2023-04-29T00:00:00"/>
        <d v="2023-04-30T00:00:00"/>
        <d v="2023-05-02T00:00:00"/>
        <d v="2023-05-03T00:00:00"/>
        <d v="2023-05-06T00:00:00"/>
        <d v="2023-05-07T00:00:00"/>
        <d v="2023-05-10T00:00:00"/>
        <d v="2023-05-12T00:00:00"/>
        <d v="2023-05-14T00:00:00"/>
        <d v="2023-05-15T00:00:00"/>
        <d v="2023-05-16T00:00:00"/>
        <d v="2023-05-17T00:00:00"/>
        <d v="2023-05-22T00:00:00"/>
        <d v="2023-05-23T00:00:00"/>
        <d v="2023-05-25T00:00:00"/>
        <d v="2023-05-27T00:00:00"/>
        <d v="2023-05-29T00:00:00"/>
        <d v="2023-06-11T00:00:00"/>
        <d v="2023-06-15T00:00:00"/>
        <d v="2023-06-17T00:00:00"/>
        <d v="2023-06-18T00:00:00"/>
        <d v="2023-06-20T00:00:00"/>
        <d v="2023-06-24T00:00:00"/>
        <d v="2023-06-27T00:00:00"/>
        <d v="2023-06-29T00:00:00"/>
        <d v="2023-06-30T00:00:00"/>
        <d v="2023-07-01T00:00:00"/>
        <d v="2023-07-02T00:00:00"/>
        <d v="2023-07-05T00:00:00"/>
        <d v="2023-07-07T00:00:00"/>
        <d v="2023-07-08T00:00:00"/>
        <d v="2023-07-12T00:00:00"/>
        <d v="2023-07-15T00:00:00"/>
        <d v="2023-07-17T00:00:00"/>
        <d v="2023-07-18T00:00:00"/>
        <d v="2023-07-20T00:00:00"/>
        <d v="2023-07-21T00:00:00"/>
        <d v="2023-07-28T00:00:00"/>
        <d v="2023-07-29T00:00:00"/>
        <d v="2023-07-31T00:00:00"/>
        <d v="2023-08-04T00:00:00"/>
        <d v="2023-08-06T00:00:00"/>
        <d v="2023-08-13T00:00:00"/>
        <d v="2023-08-18T00:00:00"/>
        <d v="2023-08-19T00:00:00"/>
        <d v="2023-08-21T00:00:00"/>
        <d v="2023-08-23T00:00:00"/>
        <d v="2023-08-25T00:00:00"/>
        <d v="2023-08-26T00:00:00"/>
        <d v="2023-08-27T00:00:00"/>
        <d v="2023-09-01T00:00:00"/>
        <d v="2023-09-04T00:00:00"/>
        <d v="2023-09-06T00:00:00"/>
        <d v="2023-09-09T00:00:00"/>
        <d v="2023-09-24T00:00:00"/>
        <d v="2023-09-27T00:00:00"/>
        <d v="2023-09-28T00:00:00"/>
        <d v="2023-09-29T00:00:00"/>
        <d v="2023-09-30T00:00:00"/>
        <d v="2023-10-01T00:00:00"/>
        <d v="2023-10-03T00:00:00"/>
        <d v="2023-10-04T00:00:00"/>
        <d v="2023-10-05T00:00:00"/>
        <d v="2023-10-06T00:00:00"/>
        <d v="2023-10-10T00:00:00"/>
        <d v="2023-10-11T00:00:00"/>
        <d v="2023-10-12T00:00:00"/>
        <d v="2023-10-16T00:00:00"/>
        <d v="2023-10-19T00:00:00"/>
        <d v="2023-10-20T00:00:00"/>
        <d v="2023-10-22T00:00:00"/>
        <d v="2023-10-23T00:00:00"/>
        <d v="2023-10-28T00:00:00"/>
        <d v="2023-11-01T00:00:00"/>
        <d v="2023-11-02T00:00:00"/>
        <d v="2023-11-07T00:00:00"/>
        <d v="2023-11-09T00:00:00"/>
        <d v="2023-11-10T00:00:00"/>
        <d v="2023-11-11T00:00:00"/>
        <d v="2023-11-24T00:00:00"/>
        <d v="2023-11-26T00:00:00"/>
        <d v="2023-12-01T00:00:00"/>
        <d v="2023-12-05T00:00:00"/>
        <d v="2023-12-07T00:00:00"/>
        <d v="2023-12-14T00:00:00"/>
        <d v="2023-12-15T00:00:00"/>
        <d v="2023-12-16T00:00:00"/>
        <d v="2023-12-17T00:00:00"/>
        <d v="2023-12-20T00:00:00"/>
        <d v="2023-12-24T00:00:00"/>
        <d v="2023-12-27T00:00:00"/>
        <d v="2023-12-29T00:00:00"/>
        <d v="2023-12-30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Dummy0" numFmtId="0" hierarchy="25" level="32767">
      <extLst>
        <ext xmlns:x14="http://schemas.microsoft.com/office/spreadsheetml/2009/9/main" uri="{63CAB8AC-B538-458d-9737-405883B0398D}">
          <x14:cacheField ignore="1"/>
        </ext>
      </extLst>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Dummy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ejaswini Shetty" refreshedDate="45728.926524305556" backgroundQuery="1" createdVersion="8" refreshedVersion="8" minRefreshableVersion="3" recordCount="0" supportSubquery="1" supportAdvancedDrill="1" xr:uid="{A1181BEB-4840-4121-A4D5-23E3C0AB07B7}">
  <cacheSource type="external" connectionId="1"/>
  <cacheFields count="3">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2"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ejaswini Shetty" refreshedDate="45728.926524652779" backgroundQuery="1" createdVersion="8" refreshedVersion="8" minRefreshableVersion="3" recordCount="0" supportSubquery="1" supportAdvancedDrill="1" xr:uid="{18B6970B-B7ED-41D6-B8C6-2F7B5F68E8D4}">
  <cacheSource type="external" connectionId="1"/>
  <cacheFields count="1">
    <cacheField name="[calls].[Representative].[Representative]" caption="Representative" numFmtId="0" hierarchy="3" level="1">
      <sharedItems count="1">
        <s v="R01"/>
      </sharedItems>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ejaswini Shetty" refreshedDate="45728.926525115741" backgroundQuery="1" createdVersion="8" refreshedVersion="8" minRefreshableVersion="3" recordCount="0" supportSubquery="1" supportAdvancedDrill="1" xr:uid="{3529FDF9-8DC9-4290-80DB-C17C26058557}">
  <cacheSource type="external" connectionId="1"/>
  <cacheFields count="3">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0"/>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ejaswini Shetty" refreshedDate="45728.803890856485" backgroundQuery="1" createdVersion="3" refreshedVersion="8" minRefreshableVersion="3" recordCount="0" supportSubquery="1" supportAdvancedDrill="1" xr:uid="{C4451901-A0AE-40D4-B386-60ADE56E3A1C}">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643583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F9FB95-C077-47AF-AB6F-F122E12D3D2E}" name="Rep Amounts" cacheId="530"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10">
  <location ref="A75:G94"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dataField="1" subtotalTop="0" showAll="0" defaultSubtotal="0"/>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s>
  <rowFields count="2">
    <field x="1"/>
    <field x="3"/>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2" subtotal="count" baseField="0" baseItem="0"/>
  </dataField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5"/>
    <rowHierarchyUsage hierarchyUsage="1"/>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B84092-DC47-406E-866A-B91B4DF4FA32}" name="Rep Saticfaction" cacheId="62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67:B73"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1">
    <chartFormat chart="9"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5A7CBE-3F99-446E-8287-8A0219AA4CBA}" name="PivotTable8" cacheId="29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57:D62"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2">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357B60-948E-4F61-8FC3-99139B190723}" name="Selected Rep" cacheId="617"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51:A52"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1">
      <pivotArea dataOnly="0" labelOnly="1" fieldPosition="0">
        <references count="1">
          <reference field="0" count="0"/>
        </references>
      </pivotArea>
    </format>
  </format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E19E3D-9D81-4144-8BA4-E15E3C77D17F}" name="Reps Pivot" cacheId="2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2:C48"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86E832-ED27-4101-B196-4112FDA19BFF}" name="Week Days Trend" cacheId="6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E24:F32" firstHeaderRow="1" firstDataRow="1" firstDataCol="1"/>
  <pivotFields count="3">
    <pivotField axis="axisRow" allDrilled="1" subtotalTop="0" showAll="0" sortType="descending" defaultSubtotal="0" defaultAttributeDrillState="1">
      <items count="7">
        <item x="2"/>
        <item x="0"/>
        <item x="4"/>
        <item x="6"/>
        <item x="5"/>
        <item x="1"/>
        <item x="3"/>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1">
    <chartFormat chart="14"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 (1).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5D521AD-14DC-4A4B-A5FB-792E235E0235}" name="Monthly Trend" cacheId="6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24:C37"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2">
    <chartFormat chart="7" format="4" series="1">
      <pivotArea type="data" outline="0" fieldPosition="0">
        <references count="1">
          <reference field="4294967294" count="1" selected="0">
            <x v="1"/>
          </reference>
        </references>
      </pivotArea>
    </chartFormat>
    <chartFormat chart="7" format="5"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 (1).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409A7B1-8DE9-4BB7-BED6-886C6F187AA7}" name="Rep Pivot" cacheId="60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8:E9"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5">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 (1).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29E017D-3F96-43CD-8215-DDB2615DFF5B}" name="Summary Pivot" cacheId="10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 (1).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D371772B-21F2-4154-B429-8A9C20A8BDBF}" sourceName="[calls].[Representative]">
  <pivotTables>
    <pivotTable tabId="6" name="Rep Pivot"/>
    <pivotTable tabId="6" name="Monthly Trend"/>
    <pivotTable tabId="6" name="Week Days Trend"/>
    <pivotTable tabId="6" name="Selected Rep"/>
    <pivotTable tabId="6" name="Rep Saticfaction"/>
  </pivotTables>
  <data>
    <olap pivotCacheId="76435834">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1]"/>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0F119138-5513-4A7C-807C-1CAE2F6D2910}" cache="Slicer_Representative" caption="Representative" showCaption="0" level="1" style="SlicerStyleDark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7"/>
    <tableColumn id="5" xr3:uid="{5A35565E-8707-4DED-AD15-A0669D67B382}" name="Date of Call" dataDxfId="16"/>
    <tableColumn id="6" xr3:uid="{F2E4F158-B41F-47BC-8DF8-DFCADFEE4E40}" name="Purchase Amount"/>
    <tableColumn id="7" xr3:uid="{04B291B5-47BD-4F78-8FD8-D1551CCA6BD9}" name="Satisfaction Rating"/>
    <tableColumn id="8" xr3:uid="{6E4123C0-0B17-43B8-A142-A1E540CE974C}" name="FY" dataDxfId="15">
      <calculatedColumnFormula>IF(MONTH(calls[[#This Row],[Date of Call]])&lt;=6, YEAR(calls[[#This Row],[Date of Call]]), YEAR(calls[[#This Row],[Date of Call]])+1)</calculatedColumnFormula>
    </tableColumn>
    <tableColumn id="9" xr3:uid="{199FA271-5E9B-46CE-9BC6-2801F92CD17E}" name="Day of week" dataDxfId="14">
      <calculatedColumnFormula>TEXT(calls[[#This Row],[Date of Call]],"DDDD")</calculatedColumnFormula>
    </tableColumn>
    <tableColumn id="10" xr3:uid="{328CDB09-95B8-4D5E-9ED9-EF0D363735A1}" name="Duration Bucket" dataDxfId="13">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2">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11" headerRowBorderDxfId="10" tableBorderDxfId="9" totalsRowBorderDxfId="8">
  <autoFilter ref="Q3:T18" xr:uid="{27158F51-A707-4171-8A04-81FB0AABCBA5}"/>
  <tableColumns count="4">
    <tableColumn id="1" xr3:uid="{02688061-6A8C-4E23-B7FF-D00CD8B58CAC}" name="Customer ID" dataDxfId="7"/>
    <tableColumn id="2" xr3:uid="{771678B6-DB44-426B-9874-B4E421A440D5}" name="Gedner" dataDxfId="6"/>
    <tableColumn id="3" xr3:uid="{B0D41C62-587E-494D-B49A-603F2C05F8D3}" name="Age" dataDxfId="5"/>
    <tableColumn id="4" xr3:uid="{663F92D6-FE31-4D81-9E01-8D066DDC8A88}" name="City" dataDxfId="4"/>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
      <a:majorFont>
        <a:latin typeface="Arial Black"/>
        <a:ea typeface=""/>
        <a:cs typeface=""/>
      </a:majorFont>
      <a:minorFont>
        <a:latin typeface="Arial"/>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B2AB0-092B-46A4-A9EB-D593B0F2C086}">
  <dimension ref="A3:I94"/>
  <sheetViews>
    <sheetView topLeftCell="A38" workbookViewId="0">
      <selection activeCell="G53" sqref="G53"/>
    </sheetView>
  </sheetViews>
  <sheetFormatPr defaultRowHeight="14.25" x14ac:dyDescent="0.2"/>
  <cols>
    <col min="1" max="1" width="13.125" bestFit="1" customWidth="1"/>
    <col min="2" max="2" width="10.125" bestFit="1" customWidth="1"/>
    <col min="3" max="3" width="11.125" bestFit="1" customWidth="1"/>
    <col min="4" max="4" width="10.875" bestFit="1" customWidth="1"/>
    <col min="5" max="5" width="13.125" bestFit="1" customWidth="1"/>
    <col min="6" max="6" width="11.75" customWidth="1"/>
    <col min="7" max="7" width="11.375" bestFit="1" customWidth="1"/>
    <col min="8" max="8" width="12.375" customWidth="1"/>
    <col min="9" max="9" width="11.75" customWidth="1"/>
  </cols>
  <sheetData>
    <row r="3" spans="1:5" x14ac:dyDescent="0.2">
      <c r="A3" t="s">
        <v>1042</v>
      </c>
      <c r="B3" t="s">
        <v>1043</v>
      </c>
      <c r="C3" t="s">
        <v>1046</v>
      </c>
      <c r="D3" t="s">
        <v>1044</v>
      </c>
      <c r="E3" t="s">
        <v>1045</v>
      </c>
    </row>
    <row r="4" spans="1:5" x14ac:dyDescent="0.2">
      <c r="A4" s="20">
        <v>1000</v>
      </c>
      <c r="B4" s="21">
        <v>96623</v>
      </c>
      <c r="C4" s="20">
        <v>89850</v>
      </c>
      <c r="D4" s="22">
        <v>3.8854000000000033</v>
      </c>
      <c r="E4" s="20">
        <v>307</v>
      </c>
    </row>
    <row r="8" spans="1:5" x14ac:dyDescent="0.2">
      <c r="A8" t="s">
        <v>1042</v>
      </c>
      <c r="B8" t="s">
        <v>1043</v>
      </c>
      <c r="C8" t="s">
        <v>1046</v>
      </c>
      <c r="D8" t="s">
        <v>1044</v>
      </c>
      <c r="E8" t="s">
        <v>1045</v>
      </c>
    </row>
    <row r="9" spans="1:5" x14ac:dyDescent="0.2">
      <c r="A9" s="20">
        <v>189</v>
      </c>
      <c r="B9" s="21">
        <v>18415</v>
      </c>
      <c r="C9" s="20">
        <v>16834</v>
      </c>
      <c r="D9" s="22">
        <v>3.9227513227513247</v>
      </c>
      <c r="E9" s="20">
        <v>60</v>
      </c>
    </row>
    <row r="24" spans="1:6" x14ac:dyDescent="0.2">
      <c r="A24" s="23" t="s">
        <v>1047</v>
      </c>
      <c r="B24" t="s">
        <v>1042</v>
      </c>
      <c r="C24" t="s">
        <v>1061</v>
      </c>
      <c r="E24" s="23" t="s">
        <v>1047</v>
      </c>
      <c r="F24" t="s">
        <v>1042</v>
      </c>
    </row>
    <row r="25" spans="1:6" x14ac:dyDescent="0.2">
      <c r="A25" s="25" t="s">
        <v>1049</v>
      </c>
      <c r="B25" s="20">
        <v>16</v>
      </c>
      <c r="C25" s="20">
        <v>16</v>
      </c>
      <c r="E25" s="25" t="s">
        <v>1065</v>
      </c>
      <c r="F25" s="20">
        <v>40</v>
      </c>
    </row>
    <row r="26" spans="1:6" x14ac:dyDescent="0.2">
      <c r="A26" s="25" t="s">
        <v>1050</v>
      </c>
      <c r="B26" s="20">
        <v>14</v>
      </c>
      <c r="C26" s="20">
        <v>14</v>
      </c>
      <c r="E26" s="25" t="s">
        <v>1064</v>
      </c>
      <c r="F26" s="20">
        <v>24</v>
      </c>
    </row>
    <row r="27" spans="1:6" x14ac:dyDescent="0.2">
      <c r="A27" s="25" t="s">
        <v>1051</v>
      </c>
      <c r="B27" s="20">
        <v>26</v>
      </c>
      <c r="C27" s="20">
        <v>26</v>
      </c>
      <c r="E27" s="25" t="s">
        <v>1063</v>
      </c>
      <c r="F27" s="20">
        <v>23</v>
      </c>
    </row>
    <row r="28" spans="1:6" x14ac:dyDescent="0.2">
      <c r="A28" s="25" t="s">
        <v>1052</v>
      </c>
      <c r="B28" s="20">
        <v>29</v>
      </c>
      <c r="C28" s="20">
        <v>29</v>
      </c>
      <c r="E28" s="25" t="s">
        <v>1062</v>
      </c>
      <c r="F28" s="20">
        <v>23</v>
      </c>
    </row>
    <row r="29" spans="1:6" x14ac:dyDescent="0.2">
      <c r="A29" s="25" t="s">
        <v>1053</v>
      </c>
      <c r="B29" s="20">
        <v>17</v>
      </c>
      <c r="C29" s="20">
        <v>17</v>
      </c>
      <c r="E29" s="25" t="s">
        <v>1068</v>
      </c>
      <c r="F29" s="20">
        <v>13</v>
      </c>
    </row>
    <row r="30" spans="1:6" x14ac:dyDescent="0.2">
      <c r="A30" s="25" t="s">
        <v>1054</v>
      </c>
      <c r="B30" s="20">
        <v>15</v>
      </c>
      <c r="C30" s="20">
        <v>15</v>
      </c>
      <c r="E30" s="25" t="s">
        <v>1067</v>
      </c>
      <c r="F30" s="20">
        <v>30</v>
      </c>
    </row>
    <row r="31" spans="1:6" x14ac:dyDescent="0.2">
      <c r="A31" s="25" t="s">
        <v>1055</v>
      </c>
      <c r="B31" s="20">
        <v>15</v>
      </c>
      <c r="C31" s="20">
        <v>15</v>
      </c>
      <c r="E31" s="25" t="s">
        <v>1066</v>
      </c>
      <c r="F31" s="20">
        <v>36</v>
      </c>
    </row>
    <row r="32" spans="1:6" x14ac:dyDescent="0.2">
      <c r="A32" s="25" t="s">
        <v>1056</v>
      </c>
      <c r="B32" s="20">
        <v>7</v>
      </c>
      <c r="C32" s="20">
        <v>7</v>
      </c>
      <c r="E32" s="25" t="s">
        <v>1048</v>
      </c>
      <c r="F32" s="20">
        <v>189</v>
      </c>
    </row>
    <row r="33" spans="1:9" x14ac:dyDescent="0.2">
      <c r="A33" s="25" t="s">
        <v>1057</v>
      </c>
      <c r="B33" s="20">
        <v>11</v>
      </c>
      <c r="C33" s="20">
        <v>11</v>
      </c>
    </row>
    <row r="34" spans="1:9" x14ac:dyDescent="0.2">
      <c r="A34" s="25" t="s">
        <v>1058</v>
      </c>
      <c r="B34" s="20">
        <v>24</v>
      </c>
      <c r="C34" s="20">
        <v>24</v>
      </c>
    </row>
    <row r="35" spans="1:9" x14ac:dyDescent="0.2">
      <c r="A35" s="25" t="s">
        <v>1059</v>
      </c>
      <c r="B35" s="20">
        <v>9</v>
      </c>
      <c r="C35" s="20">
        <v>9</v>
      </c>
    </row>
    <row r="36" spans="1:9" x14ac:dyDescent="0.2">
      <c r="A36" s="25" t="s">
        <v>1060</v>
      </c>
      <c r="B36" s="20">
        <v>6</v>
      </c>
      <c r="C36" s="20">
        <v>6</v>
      </c>
    </row>
    <row r="37" spans="1:9" x14ac:dyDescent="0.2">
      <c r="A37" s="25" t="s">
        <v>1048</v>
      </c>
      <c r="B37" s="20">
        <v>189</v>
      </c>
      <c r="C37" s="20">
        <v>189</v>
      </c>
    </row>
    <row r="40" spans="1:9" x14ac:dyDescent="0.2">
      <c r="E40" t="s">
        <v>1069</v>
      </c>
      <c r="H40" t="s">
        <v>1074</v>
      </c>
      <c r="I40" t="str">
        <f>A52</f>
        <v>R01</v>
      </c>
    </row>
    <row r="42" spans="1:9" x14ac:dyDescent="0.2">
      <c r="A42" s="23" t="s">
        <v>1047</v>
      </c>
      <c r="B42" t="s">
        <v>1042</v>
      </c>
      <c r="C42" t="s">
        <v>1043</v>
      </c>
      <c r="E42" t="s">
        <v>1070</v>
      </c>
      <c r="F42" t="s">
        <v>1042</v>
      </c>
      <c r="G42" t="s">
        <v>1071</v>
      </c>
      <c r="H42" t="s">
        <v>1072</v>
      </c>
      <c r="I42" t="s">
        <v>1073</v>
      </c>
    </row>
    <row r="43" spans="1:9" x14ac:dyDescent="0.2">
      <c r="A43" s="25" t="s">
        <v>11</v>
      </c>
      <c r="B43" s="20">
        <v>189</v>
      </c>
      <c r="C43" s="21">
        <v>18415</v>
      </c>
      <c r="E43" t="str">
        <f>A43</f>
        <v>R01</v>
      </c>
      <c r="F43" s="20">
        <f>B43</f>
        <v>189</v>
      </c>
      <c r="G43" s="27">
        <f>C43</f>
        <v>18415</v>
      </c>
      <c r="H43">
        <f>IF(E43=$I$40,F43,NA())</f>
        <v>189</v>
      </c>
      <c r="I43" s="29">
        <f>IF($E43=$I$40,G43,NA())</f>
        <v>18415</v>
      </c>
    </row>
    <row r="44" spans="1:9" x14ac:dyDescent="0.2">
      <c r="A44" s="25" t="s">
        <v>9</v>
      </c>
      <c r="B44" s="20">
        <v>218</v>
      </c>
      <c r="C44" s="21">
        <v>20581</v>
      </c>
      <c r="E44" t="str">
        <f t="shared" ref="E44:E48" si="0">A44</f>
        <v>R02</v>
      </c>
      <c r="F44" s="20">
        <f t="shared" ref="F44:F48" si="1">B44</f>
        <v>218</v>
      </c>
      <c r="G44" s="21">
        <f t="shared" ref="G44:G48" si="2">C44</f>
        <v>20581</v>
      </c>
      <c r="H44" t="e">
        <f t="shared" ref="H44:I48" si="3">IF(E44=$I$40,F44,NA())</f>
        <v>#N/A</v>
      </c>
      <c r="I44" t="e">
        <f t="shared" ref="I44:I48" si="4">IF($E44=$I$40,G44,NA())</f>
        <v>#N/A</v>
      </c>
    </row>
    <row r="45" spans="1:9" x14ac:dyDescent="0.2">
      <c r="A45" s="25" t="s">
        <v>6</v>
      </c>
      <c r="B45" s="20">
        <v>207</v>
      </c>
      <c r="C45" s="21">
        <v>20872</v>
      </c>
      <c r="E45" t="str">
        <f t="shared" si="0"/>
        <v>R03</v>
      </c>
      <c r="F45" s="20">
        <f t="shared" si="1"/>
        <v>207</v>
      </c>
      <c r="G45" s="21">
        <f t="shared" si="2"/>
        <v>20872</v>
      </c>
      <c r="H45" t="e">
        <f t="shared" si="3"/>
        <v>#N/A</v>
      </c>
      <c r="I45" t="e">
        <f t="shared" si="4"/>
        <v>#N/A</v>
      </c>
    </row>
    <row r="46" spans="1:9" x14ac:dyDescent="0.2">
      <c r="A46" s="25" t="s">
        <v>13</v>
      </c>
      <c r="B46" s="20">
        <v>186</v>
      </c>
      <c r="C46" s="21">
        <v>16651</v>
      </c>
      <c r="E46" t="str">
        <f t="shared" si="0"/>
        <v>R04</v>
      </c>
      <c r="F46" s="20">
        <f t="shared" si="1"/>
        <v>186</v>
      </c>
      <c r="G46" s="21">
        <f t="shared" si="2"/>
        <v>16651</v>
      </c>
      <c r="H46" t="e">
        <f t="shared" si="3"/>
        <v>#N/A</v>
      </c>
      <c r="I46" t="e">
        <f t="shared" si="4"/>
        <v>#N/A</v>
      </c>
    </row>
    <row r="47" spans="1:9" x14ac:dyDescent="0.2">
      <c r="A47" s="25" t="s">
        <v>10</v>
      </c>
      <c r="B47" s="20">
        <v>200</v>
      </c>
      <c r="C47" s="21">
        <v>20104</v>
      </c>
      <c r="E47" t="str">
        <f t="shared" si="0"/>
        <v>R05</v>
      </c>
      <c r="F47" s="20">
        <f t="shared" si="1"/>
        <v>200</v>
      </c>
      <c r="G47" s="21">
        <f t="shared" si="2"/>
        <v>20104</v>
      </c>
      <c r="H47" t="e">
        <f t="shared" si="3"/>
        <v>#N/A</v>
      </c>
      <c r="I47" t="e">
        <f t="shared" si="4"/>
        <v>#N/A</v>
      </c>
    </row>
    <row r="48" spans="1:9" x14ac:dyDescent="0.2">
      <c r="A48" s="25" t="s">
        <v>1048</v>
      </c>
      <c r="B48" s="20">
        <v>1000</v>
      </c>
      <c r="C48" s="21">
        <v>96623</v>
      </c>
      <c r="E48" t="str">
        <f t="shared" si="0"/>
        <v>Grand Total</v>
      </c>
      <c r="F48" s="20">
        <f t="shared" si="1"/>
        <v>1000</v>
      </c>
      <c r="G48" s="21">
        <f t="shared" si="2"/>
        <v>96623</v>
      </c>
      <c r="H48" t="e">
        <f t="shared" si="3"/>
        <v>#N/A</v>
      </c>
      <c r="I48" t="e">
        <f t="shared" si="4"/>
        <v>#N/A</v>
      </c>
    </row>
    <row r="51" spans="1:7" x14ac:dyDescent="0.2">
      <c r="A51" s="23" t="s">
        <v>1047</v>
      </c>
    </row>
    <row r="52" spans="1:7" x14ac:dyDescent="0.2">
      <c r="A52" s="28" t="s">
        <v>11</v>
      </c>
    </row>
    <row r="53" spans="1:7" x14ac:dyDescent="0.2">
      <c r="G53" s="45"/>
    </row>
    <row r="57" spans="1:7" x14ac:dyDescent="0.2">
      <c r="A57" s="23" t="s">
        <v>1042</v>
      </c>
      <c r="B57" s="23" t="s">
        <v>1075</v>
      </c>
    </row>
    <row r="58" spans="1:7" x14ac:dyDescent="0.2">
      <c r="A58" s="23" t="s">
        <v>1047</v>
      </c>
      <c r="B58" t="s">
        <v>999</v>
      </c>
      <c r="C58" t="s">
        <v>998</v>
      </c>
      <c r="D58" t="s">
        <v>1048</v>
      </c>
    </row>
    <row r="59" spans="1:7" x14ac:dyDescent="0.2">
      <c r="A59" s="25" t="s">
        <v>1002</v>
      </c>
      <c r="B59" s="20">
        <v>144</v>
      </c>
      <c r="C59" s="20">
        <v>132</v>
      </c>
      <c r="D59" s="20">
        <v>276</v>
      </c>
    </row>
    <row r="60" spans="1:7" x14ac:dyDescent="0.2">
      <c r="A60" s="25" t="s">
        <v>1001</v>
      </c>
      <c r="B60" s="20">
        <v>326</v>
      </c>
      <c r="C60" s="20">
        <v>63</v>
      </c>
      <c r="D60" s="20">
        <v>389</v>
      </c>
    </row>
    <row r="61" spans="1:7" x14ac:dyDescent="0.2">
      <c r="A61" s="25" t="s">
        <v>1000</v>
      </c>
      <c r="B61" s="20">
        <v>129</v>
      </c>
      <c r="C61" s="20">
        <v>206</v>
      </c>
      <c r="D61" s="20">
        <v>335</v>
      </c>
    </row>
    <row r="62" spans="1:7" x14ac:dyDescent="0.2">
      <c r="A62" s="25" t="s">
        <v>1048</v>
      </c>
      <c r="B62" s="20">
        <v>599</v>
      </c>
      <c r="C62" s="20">
        <v>401</v>
      </c>
      <c r="D62" s="20">
        <v>1000</v>
      </c>
    </row>
    <row r="67" spans="1:7" x14ac:dyDescent="0.2">
      <c r="A67" s="23" t="s">
        <v>1047</v>
      </c>
      <c r="B67" t="s">
        <v>1042</v>
      </c>
    </row>
    <row r="68" spans="1:7" x14ac:dyDescent="0.2">
      <c r="A68" s="25">
        <v>1</v>
      </c>
      <c r="B68" s="20">
        <v>1</v>
      </c>
    </row>
    <row r="69" spans="1:7" x14ac:dyDescent="0.2">
      <c r="A69" s="25">
        <v>2</v>
      </c>
      <c r="B69" s="20">
        <v>9</v>
      </c>
    </row>
    <row r="70" spans="1:7" x14ac:dyDescent="0.2">
      <c r="A70" s="25">
        <v>3</v>
      </c>
      <c r="B70" s="20">
        <v>31</v>
      </c>
    </row>
    <row r="71" spans="1:7" x14ac:dyDescent="0.2">
      <c r="A71" s="25">
        <v>4</v>
      </c>
      <c r="B71" s="20">
        <v>88</v>
      </c>
    </row>
    <row r="72" spans="1:7" x14ac:dyDescent="0.2">
      <c r="A72" s="25">
        <v>5</v>
      </c>
      <c r="B72" s="20">
        <v>60</v>
      </c>
    </row>
    <row r="73" spans="1:7" x14ac:dyDescent="0.2">
      <c r="A73" s="25" t="s">
        <v>1048</v>
      </c>
      <c r="B73" s="20">
        <v>189</v>
      </c>
    </row>
    <row r="75" spans="1:7" x14ac:dyDescent="0.2">
      <c r="A75" s="23" t="s">
        <v>1043</v>
      </c>
      <c r="B75" s="23" t="s">
        <v>1075</v>
      </c>
    </row>
    <row r="76" spans="1:7" x14ac:dyDescent="0.2">
      <c r="A76" s="23" t="s">
        <v>1047</v>
      </c>
      <c r="B76" t="s">
        <v>11</v>
      </c>
      <c r="C76" t="s">
        <v>9</v>
      </c>
      <c r="D76" t="s">
        <v>6</v>
      </c>
      <c r="E76" t="s">
        <v>13</v>
      </c>
      <c r="F76" t="s">
        <v>10</v>
      </c>
      <c r="G76" t="s">
        <v>1048</v>
      </c>
    </row>
    <row r="77" spans="1:7" x14ac:dyDescent="0.2">
      <c r="A77" s="25" t="s">
        <v>1002</v>
      </c>
      <c r="B77" s="26"/>
      <c r="C77" s="26"/>
      <c r="D77" s="26"/>
      <c r="E77" s="26"/>
      <c r="F77" s="26"/>
      <c r="G77" s="26"/>
    </row>
    <row r="78" spans="1:7" x14ac:dyDescent="0.2">
      <c r="A78" s="30" t="s">
        <v>20</v>
      </c>
      <c r="B78" s="21">
        <v>891</v>
      </c>
      <c r="C78" s="21">
        <v>1332</v>
      </c>
      <c r="D78" s="21">
        <v>1282</v>
      </c>
      <c r="E78" s="21">
        <v>739</v>
      </c>
      <c r="F78" s="21">
        <v>560</v>
      </c>
      <c r="G78" s="21">
        <v>4804</v>
      </c>
    </row>
    <row r="79" spans="1:7" x14ac:dyDescent="0.2">
      <c r="A79" s="30" t="s">
        <v>12</v>
      </c>
      <c r="B79" s="21">
        <v>1991</v>
      </c>
      <c r="C79" s="21">
        <v>1886</v>
      </c>
      <c r="D79" s="21">
        <v>1206</v>
      </c>
      <c r="E79" s="21">
        <v>884</v>
      </c>
      <c r="F79" s="21">
        <v>1722</v>
      </c>
      <c r="G79" s="21">
        <v>7689</v>
      </c>
    </row>
    <row r="80" spans="1:7" x14ac:dyDescent="0.2">
      <c r="A80" s="30" t="s">
        <v>8</v>
      </c>
      <c r="B80" s="21">
        <v>1163</v>
      </c>
      <c r="C80" s="21">
        <v>1180</v>
      </c>
      <c r="D80" s="21">
        <v>1616</v>
      </c>
      <c r="E80" s="21">
        <v>1043</v>
      </c>
      <c r="F80" s="21">
        <v>1747</v>
      </c>
      <c r="G80" s="21">
        <v>6749</v>
      </c>
    </row>
    <row r="81" spans="1:7" x14ac:dyDescent="0.2">
      <c r="A81" s="30" t="s">
        <v>16</v>
      </c>
      <c r="B81" s="21">
        <v>1438</v>
      </c>
      <c r="C81" s="21">
        <v>1616</v>
      </c>
      <c r="D81" s="21">
        <v>866</v>
      </c>
      <c r="E81" s="21">
        <v>829</v>
      </c>
      <c r="F81" s="21">
        <v>2070</v>
      </c>
      <c r="G81" s="21">
        <v>6819</v>
      </c>
    </row>
    <row r="82" spans="1:7" x14ac:dyDescent="0.2">
      <c r="A82" s="25" t="s">
        <v>1001</v>
      </c>
      <c r="B82" s="26"/>
      <c r="C82" s="26"/>
      <c r="D82" s="26"/>
      <c r="E82" s="26"/>
      <c r="F82" s="26"/>
      <c r="G82" s="26"/>
    </row>
    <row r="83" spans="1:7" x14ac:dyDescent="0.2">
      <c r="A83" s="30" t="s">
        <v>24</v>
      </c>
      <c r="B83" s="21">
        <v>1233</v>
      </c>
      <c r="C83" s="21">
        <v>223</v>
      </c>
      <c r="D83" s="21">
        <v>1680</v>
      </c>
      <c r="E83" s="21">
        <v>990</v>
      </c>
      <c r="F83" s="21">
        <v>1508</v>
      </c>
      <c r="G83" s="21">
        <v>5634</v>
      </c>
    </row>
    <row r="84" spans="1:7" x14ac:dyDescent="0.2">
      <c r="A84" s="30" t="s">
        <v>15</v>
      </c>
      <c r="B84" s="21">
        <v>1598</v>
      </c>
      <c r="C84" s="21">
        <v>1907</v>
      </c>
      <c r="D84" s="21">
        <v>869</v>
      </c>
      <c r="E84" s="21">
        <v>1426</v>
      </c>
      <c r="F84" s="21">
        <v>1416</v>
      </c>
      <c r="G84" s="21">
        <v>7216</v>
      </c>
    </row>
    <row r="85" spans="1:7" x14ac:dyDescent="0.2">
      <c r="A85" s="30" t="s">
        <v>5</v>
      </c>
      <c r="B85" s="21">
        <v>900</v>
      </c>
      <c r="C85" s="21">
        <v>1016</v>
      </c>
      <c r="D85" s="21">
        <v>960</v>
      </c>
      <c r="E85" s="21">
        <v>940</v>
      </c>
      <c r="F85" s="21">
        <v>1193</v>
      </c>
      <c r="G85" s="21">
        <v>5009</v>
      </c>
    </row>
    <row r="86" spans="1:7" x14ac:dyDescent="0.2">
      <c r="A86" s="30" t="s">
        <v>18</v>
      </c>
      <c r="B86" s="21">
        <v>900</v>
      </c>
      <c r="C86" s="21">
        <v>1470</v>
      </c>
      <c r="D86" s="21">
        <v>1617</v>
      </c>
      <c r="E86" s="21">
        <v>1314</v>
      </c>
      <c r="F86" s="21">
        <v>941</v>
      </c>
      <c r="G86" s="21">
        <v>6242</v>
      </c>
    </row>
    <row r="87" spans="1:7" x14ac:dyDescent="0.2">
      <c r="A87" s="30" t="s">
        <v>14</v>
      </c>
      <c r="B87" s="21">
        <v>1255</v>
      </c>
      <c r="C87" s="21">
        <v>516</v>
      </c>
      <c r="D87" s="21">
        <v>1874</v>
      </c>
      <c r="E87" s="21">
        <v>1863</v>
      </c>
      <c r="F87" s="21">
        <v>1722</v>
      </c>
      <c r="G87" s="21">
        <v>7230</v>
      </c>
    </row>
    <row r="88" spans="1:7" x14ac:dyDescent="0.2">
      <c r="A88" s="30" t="s">
        <v>19</v>
      </c>
      <c r="B88" s="21">
        <v>1138</v>
      </c>
      <c r="C88" s="21">
        <v>1898</v>
      </c>
      <c r="D88" s="21">
        <v>1482</v>
      </c>
      <c r="E88" s="21">
        <v>846</v>
      </c>
      <c r="F88" s="21">
        <v>1154</v>
      </c>
      <c r="G88" s="21">
        <v>6518</v>
      </c>
    </row>
    <row r="89" spans="1:7" x14ac:dyDescent="0.2">
      <c r="A89" s="25" t="s">
        <v>1000</v>
      </c>
      <c r="B89" s="26"/>
      <c r="C89" s="26"/>
      <c r="D89" s="26"/>
      <c r="E89" s="26"/>
      <c r="F89" s="26"/>
      <c r="G89" s="26"/>
    </row>
    <row r="90" spans="1:7" x14ac:dyDescent="0.2">
      <c r="A90" s="30" t="s">
        <v>17</v>
      </c>
      <c r="B90" s="21">
        <v>1655</v>
      </c>
      <c r="C90" s="21">
        <v>805</v>
      </c>
      <c r="D90" s="21">
        <v>2263</v>
      </c>
      <c r="E90" s="21">
        <v>987</v>
      </c>
      <c r="F90" s="21">
        <v>1075</v>
      </c>
      <c r="G90" s="21">
        <v>6785</v>
      </c>
    </row>
    <row r="91" spans="1:7" x14ac:dyDescent="0.2">
      <c r="A91" s="30" t="s">
        <v>23</v>
      </c>
      <c r="B91" s="21">
        <v>1104</v>
      </c>
      <c r="C91" s="21">
        <v>2280</v>
      </c>
      <c r="D91" s="21">
        <v>1445</v>
      </c>
      <c r="E91" s="21">
        <v>1722</v>
      </c>
      <c r="F91" s="21">
        <v>1196</v>
      </c>
      <c r="G91" s="21">
        <v>7747</v>
      </c>
    </row>
    <row r="92" spans="1:7" x14ac:dyDescent="0.2">
      <c r="A92" s="30" t="s">
        <v>7</v>
      </c>
      <c r="B92" s="21">
        <v>372</v>
      </c>
      <c r="C92" s="21">
        <v>1818</v>
      </c>
      <c r="D92" s="21">
        <v>1346</v>
      </c>
      <c r="E92" s="21">
        <v>1156</v>
      </c>
      <c r="F92" s="21">
        <v>1484</v>
      </c>
      <c r="G92" s="21">
        <v>6176</v>
      </c>
    </row>
    <row r="93" spans="1:7" x14ac:dyDescent="0.2">
      <c r="A93" s="30" t="s">
        <v>22</v>
      </c>
      <c r="B93" s="21">
        <v>1415</v>
      </c>
      <c r="C93" s="21">
        <v>1271</v>
      </c>
      <c r="D93" s="21">
        <v>1214</v>
      </c>
      <c r="E93" s="21">
        <v>1135</v>
      </c>
      <c r="F93" s="21">
        <v>1566</v>
      </c>
      <c r="G93" s="21">
        <v>6601</v>
      </c>
    </row>
    <row r="94" spans="1:7" x14ac:dyDescent="0.2">
      <c r="A94" s="30" t="s">
        <v>21</v>
      </c>
      <c r="B94" s="21">
        <v>1362</v>
      </c>
      <c r="C94" s="21">
        <v>1363</v>
      </c>
      <c r="D94" s="21">
        <v>1152</v>
      </c>
      <c r="E94" s="21">
        <v>777</v>
      </c>
      <c r="F94" s="21">
        <v>750</v>
      </c>
      <c r="G94" s="21">
        <v>5404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J4" zoomScale="115" zoomScaleNormal="115" workbookViewId="0">
      <selection activeCell="D5" sqref="D5"/>
    </sheetView>
  </sheetViews>
  <sheetFormatPr defaultRowHeight="15" x14ac:dyDescent="0.2"/>
  <cols>
    <col min="1" max="1" width="3.25" customWidth="1"/>
    <col min="2" max="2" width="14.625" customWidth="1"/>
    <col min="3" max="3" width="12.875" customWidth="1"/>
    <col min="4" max="4" width="16.625" customWidth="1"/>
    <col min="5" max="5" width="15" customWidth="1"/>
    <col min="6" max="6" width="16.125" customWidth="1"/>
    <col min="7" max="7" width="17.25" customWidth="1"/>
    <col min="8" max="8" width="18.375" customWidth="1"/>
    <col min="9" max="9" width="17.25" customWidth="1"/>
    <col min="10" max="12" width="15.5" customWidth="1"/>
    <col min="13" max="16" width="7.5" customWidth="1"/>
    <col min="17" max="17" width="14.625" customWidth="1"/>
    <col min="20" max="20" width="10.625" customWidth="1"/>
  </cols>
  <sheetData>
    <row r="1" spans="2:20" s="4" customFormat="1" ht="48" customHeight="1" x14ac:dyDescent="0.2">
      <c r="B1" s="5" t="s">
        <v>1003</v>
      </c>
    </row>
    <row r="2" spans="2:20" ht="14.25" x14ac:dyDescent="0.2">
      <c r="R2" s="1"/>
    </row>
    <row r="3" spans="2:20" x14ac:dyDescent="0.25">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ht="14.25" x14ac:dyDescent="0.2">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ht="14.25" x14ac:dyDescent="0.2">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ht="14.25" x14ac:dyDescent="0.2">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ht="14.25" x14ac:dyDescent="0.2">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ht="14.25" x14ac:dyDescent="0.2">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ht="14.25" x14ac:dyDescent="0.2">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ht="14.25" x14ac:dyDescent="0.2">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ht="14.25" x14ac:dyDescent="0.2">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ht="14.25" x14ac:dyDescent="0.2">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ht="14.25" x14ac:dyDescent="0.2">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ht="14.25" x14ac:dyDescent="0.2">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ht="14.25" x14ac:dyDescent="0.2">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ht="14.25" x14ac:dyDescent="0.2">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ht="14.25" x14ac:dyDescent="0.2">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ht="14.25" x14ac:dyDescent="0.2">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ht="14.25" x14ac:dyDescent="0.2">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ht="14.25" x14ac:dyDescent="0.2">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ht="14.25" x14ac:dyDescent="0.2">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ht="14.25" x14ac:dyDescent="0.2">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ht="14.25" x14ac:dyDescent="0.2">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ht="14.25" x14ac:dyDescent="0.2">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ht="14.25" x14ac:dyDescent="0.2">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ht="14.25" x14ac:dyDescent="0.2">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ht="14.25" x14ac:dyDescent="0.2">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ht="14.25" x14ac:dyDescent="0.2">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ht="14.25" x14ac:dyDescent="0.2">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ht="14.25" x14ac:dyDescent="0.2">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ht="14.25" x14ac:dyDescent="0.2">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ht="14.25" x14ac:dyDescent="0.2">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ht="14.25" x14ac:dyDescent="0.2">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ht="14.25" x14ac:dyDescent="0.2">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ht="14.25" x14ac:dyDescent="0.2">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ht="14.25" x14ac:dyDescent="0.2">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ht="14.25" x14ac:dyDescent="0.2">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ht="14.25" x14ac:dyDescent="0.2">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ht="14.25" x14ac:dyDescent="0.2">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ht="14.25" x14ac:dyDescent="0.2">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ht="14.25" x14ac:dyDescent="0.2">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ht="14.25" x14ac:dyDescent="0.2">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ht="14.25" x14ac:dyDescent="0.2">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ht="14.25" x14ac:dyDescent="0.2">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ht="14.25" x14ac:dyDescent="0.2">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ht="14.25" x14ac:dyDescent="0.2">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ht="14.25" x14ac:dyDescent="0.2">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ht="14.25" x14ac:dyDescent="0.2">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ht="14.25" x14ac:dyDescent="0.2">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ht="14.25" x14ac:dyDescent="0.2">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ht="14.25" x14ac:dyDescent="0.2">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ht="14.25" x14ac:dyDescent="0.2">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ht="14.25" x14ac:dyDescent="0.2">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ht="14.25" x14ac:dyDescent="0.2">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ht="14.25" x14ac:dyDescent="0.2">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ht="14.25" x14ac:dyDescent="0.2">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ht="14.25" x14ac:dyDescent="0.2">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ht="14.25" x14ac:dyDescent="0.2">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ht="14.25" x14ac:dyDescent="0.2">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ht="14.25" x14ac:dyDescent="0.2">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ht="14.25" x14ac:dyDescent="0.2">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ht="14.25" x14ac:dyDescent="0.2">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ht="14.25" x14ac:dyDescent="0.2">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ht="14.25" x14ac:dyDescent="0.2">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ht="14.25" x14ac:dyDescent="0.2">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ht="14.25" x14ac:dyDescent="0.2">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ht="14.25" x14ac:dyDescent="0.2">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ht="14.25" x14ac:dyDescent="0.2">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ht="14.25" x14ac:dyDescent="0.2">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ht="14.25" x14ac:dyDescent="0.2">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ht="14.25" x14ac:dyDescent="0.2">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ht="14.25" x14ac:dyDescent="0.2">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ht="14.25" x14ac:dyDescent="0.2">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ht="14.25" x14ac:dyDescent="0.2">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ht="14.25" x14ac:dyDescent="0.2">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ht="14.25" x14ac:dyDescent="0.2">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ht="14.25" x14ac:dyDescent="0.2">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ht="14.25" x14ac:dyDescent="0.2">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ht="14.25" x14ac:dyDescent="0.2">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ht="14.25" x14ac:dyDescent="0.2">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ht="14.25" x14ac:dyDescent="0.2">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ht="14.25" x14ac:dyDescent="0.2">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ht="14.25" x14ac:dyDescent="0.2">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ht="14.25" x14ac:dyDescent="0.2">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ht="14.25" x14ac:dyDescent="0.2">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ht="14.25" x14ac:dyDescent="0.2">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ht="14.25" x14ac:dyDescent="0.2">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ht="14.25" x14ac:dyDescent="0.2">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ht="14.25" x14ac:dyDescent="0.2">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ht="14.25" x14ac:dyDescent="0.2">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ht="14.25" x14ac:dyDescent="0.2">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ht="14.25" x14ac:dyDescent="0.2">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ht="14.25" x14ac:dyDescent="0.2">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ht="14.25" x14ac:dyDescent="0.2">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ht="14.25" x14ac:dyDescent="0.2">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ht="14.25" x14ac:dyDescent="0.2">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ht="14.25" x14ac:dyDescent="0.2">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ht="14.25" x14ac:dyDescent="0.2">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ht="14.25" x14ac:dyDescent="0.2">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ht="14.25" x14ac:dyDescent="0.2">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ht="14.25" x14ac:dyDescent="0.2">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ht="14.25" x14ac:dyDescent="0.2">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ht="14.25" x14ac:dyDescent="0.2">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ht="14.25" x14ac:dyDescent="0.2">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ht="14.25" x14ac:dyDescent="0.2">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ht="14.25" x14ac:dyDescent="0.2">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ht="14.25" x14ac:dyDescent="0.2">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ht="14.25" x14ac:dyDescent="0.2">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ht="14.25" x14ac:dyDescent="0.2">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ht="14.25" x14ac:dyDescent="0.2">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ht="14.25" x14ac:dyDescent="0.2">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ht="14.25" x14ac:dyDescent="0.2">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ht="14.25" x14ac:dyDescent="0.2">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ht="14.25" x14ac:dyDescent="0.2">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ht="14.25" x14ac:dyDescent="0.2">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ht="14.25" x14ac:dyDescent="0.2">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ht="14.25" x14ac:dyDescent="0.2">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ht="14.25" x14ac:dyDescent="0.2">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ht="14.25" x14ac:dyDescent="0.2">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ht="14.25" x14ac:dyDescent="0.2">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ht="14.25" x14ac:dyDescent="0.2">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ht="14.25" x14ac:dyDescent="0.2">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ht="14.25" x14ac:dyDescent="0.2">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ht="14.25" x14ac:dyDescent="0.2">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ht="14.25" x14ac:dyDescent="0.2">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ht="14.25" x14ac:dyDescent="0.2">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ht="14.25" x14ac:dyDescent="0.2">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ht="14.25" x14ac:dyDescent="0.2">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ht="14.25" x14ac:dyDescent="0.2">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ht="14.25" x14ac:dyDescent="0.2">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ht="14.25" x14ac:dyDescent="0.2">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ht="14.25" x14ac:dyDescent="0.2">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ht="14.25" x14ac:dyDescent="0.2">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ht="14.25" x14ac:dyDescent="0.2">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ht="14.25" x14ac:dyDescent="0.2">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ht="14.25" x14ac:dyDescent="0.2">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ht="14.25" x14ac:dyDescent="0.2">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ht="14.25" x14ac:dyDescent="0.2">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ht="14.25" x14ac:dyDescent="0.2">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ht="14.25" x14ac:dyDescent="0.2">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ht="14.25" x14ac:dyDescent="0.2">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ht="14.25" x14ac:dyDescent="0.2">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ht="14.25" x14ac:dyDescent="0.2">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ht="14.25" x14ac:dyDescent="0.2">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ht="14.25" x14ac:dyDescent="0.2">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ht="14.25" x14ac:dyDescent="0.2">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ht="14.25" x14ac:dyDescent="0.2">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ht="14.25" x14ac:dyDescent="0.2">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ht="14.25" x14ac:dyDescent="0.2">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ht="14.25" x14ac:dyDescent="0.2">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ht="14.25" x14ac:dyDescent="0.2">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ht="14.25" x14ac:dyDescent="0.2">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ht="14.25" x14ac:dyDescent="0.2">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ht="14.25" x14ac:dyDescent="0.2">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ht="14.25" x14ac:dyDescent="0.2">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ht="14.25" x14ac:dyDescent="0.2">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ht="14.25" x14ac:dyDescent="0.2">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ht="14.25" x14ac:dyDescent="0.2">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ht="14.25" x14ac:dyDescent="0.2">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ht="14.25" x14ac:dyDescent="0.2">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ht="14.25" x14ac:dyDescent="0.2">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ht="14.25" x14ac:dyDescent="0.2">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ht="14.25" x14ac:dyDescent="0.2">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ht="14.25" x14ac:dyDescent="0.2">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ht="14.25" x14ac:dyDescent="0.2">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ht="14.25" x14ac:dyDescent="0.2">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ht="14.25" x14ac:dyDescent="0.2">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ht="14.25" x14ac:dyDescent="0.2">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ht="14.25" x14ac:dyDescent="0.2">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ht="14.25" x14ac:dyDescent="0.2">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ht="14.25" x14ac:dyDescent="0.2">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ht="14.25" x14ac:dyDescent="0.2">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ht="14.25" x14ac:dyDescent="0.2">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ht="14.25" x14ac:dyDescent="0.2">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ht="14.25" x14ac:dyDescent="0.2">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ht="14.25" x14ac:dyDescent="0.2">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ht="14.25" x14ac:dyDescent="0.2">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ht="14.25" x14ac:dyDescent="0.2">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ht="14.25" x14ac:dyDescent="0.2">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ht="14.25" x14ac:dyDescent="0.2">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ht="14.25" x14ac:dyDescent="0.2">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ht="14.25" x14ac:dyDescent="0.2">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ht="14.25" x14ac:dyDescent="0.2">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ht="14.25" x14ac:dyDescent="0.2">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ht="14.25" x14ac:dyDescent="0.2">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ht="14.25" x14ac:dyDescent="0.2">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ht="14.25" x14ac:dyDescent="0.2">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ht="14.25" x14ac:dyDescent="0.2">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ht="14.25" x14ac:dyDescent="0.2">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ht="14.25" x14ac:dyDescent="0.2">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ht="14.25" x14ac:dyDescent="0.2">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ht="14.25" x14ac:dyDescent="0.2">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ht="14.25" x14ac:dyDescent="0.2">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ht="14.25" x14ac:dyDescent="0.2">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ht="14.25" x14ac:dyDescent="0.2">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ht="14.25" x14ac:dyDescent="0.2">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ht="14.25" x14ac:dyDescent="0.2">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ht="14.25" x14ac:dyDescent="0.2">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ht="14.25" x14ac:dyDescent="0.2">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ht="14.25" x14ac:dyDescent="0.2">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ht="14.25" x14ac:dyDescent="0.2">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ht="14.25" x14ac:dyDescent="0.2">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ht="14.25" x14ac:dyDescent="0.2">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ht="14.25" x14ac:dyDescent="0.2">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ht="14.25" x14ac:dyDescent="0.2">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ht="14.25" x14ac:dyDescent="0.2">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ht="14.25" x14ac:dyDescent="0.2">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ht="14.25" x14ac:dyDescent="0.2">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ht="14.25" x14ac:dyDescent="0.2">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ht="14.25" x14ac:dyDescent="0.2">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ht="14.25" x14ac:dyDescent="0.2">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ht="14.25" x14ac:dyDescent="0.2">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ht="14.25" x14ac:dyDescent="0.2">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ht="14.25" x14ac:dyDescent="0.2">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ht="14.25" x14ac:dyDescent="0.2">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ht="14.25" x14ac:dyDescent="0.2">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ht="14.25" x14ac:dyDescent="0.2">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ht="14.25" x14ac:dyDescent="0.2">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ht="14.25" x14ac:dyDescent="0.2">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ht="14.25" x14ac:dyDescent="0.2">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ht="14.25" x14ac:dyDescent="0.2">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ht="14.25" x14ac:dyDescent="0.2">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ht="14.25" x14ac:dyDescent="0.2">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ht="14.25" x14ac:dyDescent="0.2">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ht="14.25" x14ac:dyDescent="0.2">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ht="14.25" x14ac:dyDescent="0.2">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ht="14.25" x14ac:dyDescent="0.2">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ht="14.25" x14ac:dyDescent="0.2">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ht="14.25" x14ac:dyDescent="0.2">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ht="14.25" x14ac:dyDescent="0.2">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ht="14.25" x14ac:dyDescent="0.2">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ht="14.25" x14ac:dyDescent="0.2">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ht="14.25" x14ac:dyDescent="0.2">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ht="14.25" x14ac:dyDescent="0.2">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ht="14.25" x14ac:dyDescent="0.2">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ht="14.25" x14ac:dyDescent="0.2">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ht="14.25" x14ac:dyDescent="0.2">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ht="14.25" x14ac:dyDescent="0.2">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ht="14.25" x14ac:dyDescent="0.2">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ht="14.25" x14ac:dyDescent="0.2">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ht="14.25" x14ac:dyDescent="0.2">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ht="14.25" x14ac:dyDescent="0.2">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ht="14.25" x14ac:dyDescent="0.2">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ht="14.25" x14ac:dyDescent="0.2">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ht="14.25" x14ac:dyDescent="0.2">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ht="14.25" x14ac:dyDescent="0.2">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ht="14.25" x14ac:dyDescent="0.2">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ht="14.25" x14ac:dyDescent="0.2">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ht="14.25" x14ac:dyDescent="0.2">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ht="14.25" x14ac:dyDescent="0.2">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ht="14.25" x14ac:dyDescent="0.2">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ht="14.25" x14ac:dyDescent="0.2">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ht="14.25" x14ac:dyDescent="0.2">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ht="14.25" x14ac:dyDescent="0.2">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ht="14.25" x14ac:dyDescent="0.2">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ht="14.25" x14ac:dyDescent="0.2">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ht="14.25" x14ac:dyDescent="0.2">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ht="14.25" x14ac:dyDescent="0.2">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ht="14.25" x14ac:dyDescent="0.2">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ht="14.25" x14ac:dyDescent="0.2">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ht="14.25" x14ac:dyDescent="0.2">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ht="14.25" x14ac:dyDescent="0.2">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ht="14.25" x14ac:dyDescent="0.2">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ht="14.25" x14ac:dyDescent="0.2">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ht="14.25" x14ac:dyDescent="0.2">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ht="14.25" x14ac:dyDescent="0.2">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ht="14.25" x14ac:dyDescent="0.2">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ht="14.25" x14ac:dyDescent="0.2">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ht="14.25" x14ac:dyDescent="0.2">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ht="14.25" x14ac:dyDescent="0.2">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ht="14.25" x14ac:dyDescent="0.2">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ht="14.25" x14ac:dyDescent="0.2">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ht="14.25" x14ac:dyDescent="0.2">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ht="14.25" x14ac:dyDescent="0.2">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ht="14.25" x14ac:dyDescent="0.2">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ht="14.25" x14ac:dyDescent="0.2">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ht="14.25" x14ac:dyDescent="0.2">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ht="14.25" x14ac:dyDescent="0.2">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ht="14.25" x14ac:dyDescent="0.2">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ht="14.25" x14ac:dyDescent="0.2">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ht="14.25" x14ac:dyDescent="0.2">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ht="14.25" x14ac:dyDescent="0.2">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ht="14.25" x14ac:dyDescent="0.2">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ht="14.25" x14ac:dyDescent="0.2">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ht="14.25" x14ac:dyDescent="0.2">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ht="14.25" x14ac:dyDescent="0.2">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ht="14.25" x14ac:dyDescent="0.2">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ht="14.25" x14ac:dyDescent="0.2">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ht="14.25" x14ac:dyDescent="0.2">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ht="14.25" x14ac:dyDescent="0.2">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ht="14.25" x14ac:dyDescent="0.2">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ht="14.25" x14ac:dyDescent="0.2">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ht="14.25" x14ac:dyDescent="0.2">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ht="14.25" x14ac:dyDescent="0.2">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ht="14.25" x14ac:dyDescent="0.2">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ht="14.25" x14ac:dyDescent="0.2">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ht="14.25" x14ac:dyDescent="0.2">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ht="14.25" x14ac:dyDescent="0.2">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ht="14.25" x14ac:dyDescent="0.2">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ht="14.25" x14ac:dyDescent="0.2">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ht="14.25" x14ac:dyDescent="0.2">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ht="14.25" x14ac:dyDescent="0.2">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ht="14.25" x14ac:dyDescent="0.2">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ht="14.25" x14ac:dyDescent="0.2">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ht="14.25" x14ac:dyDescent="0.2">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ht="14.25" x14ac:dyDescent="0.2">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ht="14.25" x14ac:dyDescent="0.2">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ht="14.25" x14ac:dyDescent="0.2">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ht="14.25" x14ac:dyDescent="0.2">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ht="14.25" x14ac:dyDescent="0.2">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ht="14.25" x14ac:dyDescent="0.2">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ht="14.25" x14ac:dyDescent="0.2">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ht="14.25" x14ac:dyDescent="0.2">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ht="14.25" x14ac:dyDescent="0.2">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ht="14.25" x14ac:dyDescent="0.2">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ht="14.25" x14ac:dyDescent="0.2">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ht="14.25" x14ac:dyDescent="0.2">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ht="14.25" x14ac:dyDescent="0.2">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ht="14.25" x14ac:dyDescent="0.2">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ht="14.25" x14ac:dyDescent="0.2">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ht="14.25" x14ac:dyDescent="0.2">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ht="14.25" x14ac:dyDescent="0.2">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ht="14.25" x14ac:dyDescent="0.2">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ht="14.25" x14ac:dyDescent="0.2">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ht="14.25" x14ac:dyDescent="0.2">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ht="14.25" x14ac:dyDescent="0.2">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ht="14.25" x14ac:dyDescent="0.2">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ht="14.25" x14ac:dyDescent="0.2">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ht="14.25" x14ac:dyDescent="0.2">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ht="14.25" x14ac:dyDescent="0.2">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ht="14.25" x14ac:dyDescent="0.2">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ht="14.25" x14ac:dyDescent="0.2">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ht="14.25" x14ac:dyDescent="0.2">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ht="14.25" x14ac:dyDescent="0.2">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ht="14.25" x14ac:dyDescent="0.2">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ht="14.25" x14ac:dyDescent="0.2">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ht="14.25" x14ac:dyDescent="0.2">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ht="14.25" x14ac:dyDescent="0.2">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ht="14.25" x14ac:dyDescent="0.2">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ht="14.25" x14ac:dyDescent="0.2">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ht="14.25" x14ac:dyDescent="0.2">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ht="14.25" x14ac:dyDescent="0.2">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ht="14.25" x14ac:dyDescent="0.2">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ht="14.25" x14ac:dyDescent="0.2">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ht="14.25" x14ac:dyDescent="0.2">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ht="14.25" x14ac:dyDescent="0.2">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ht="14.25" x14ac:dyDescent="0.2">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ht="14.25" x14ac:dyDescent="0.2">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ht="14.25" x14ac:dyDescent="0.2">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ht="14.25" x14ac:dyDescent="0.2">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ht="14.25" x14ac:dyDescent="0.2">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ht="14.25" x14ac:dyDescent="0.2">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ht="14.25" x14ac:dyDescent="0.2">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ht="14.25" x14ac:dyDescent="0.2">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ht="14.25" x14ac:dyDescent="0.2">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ht="14.25" x14ac:dyDescent="0.2">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ht="14.25" x14ac:dyDescent="0.2">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ht="14.25" x14ac:dyDescent="0.2">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ht="14.25" x14ac:dyDescent="0.2">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ht="14.25" x14ac:dyDescent="0.2">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ht="14.25" x14ac:dyDescent="0.2">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ht="14.25" x14ac:dyDescent="0.2">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ht="14.25" x14ac:dyDescent="0.2">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ht="14.25" x14ac:dyDescent="0.2">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ht="14.25" x14ac:dyDescent="0.2">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ht="14.25" x14ac:dyDescent="0.2">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ht="14.25" x14ac:dyDescent="0.2">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ht="14.25" x14ac:dyDescent="0.2">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ht="14.25" x14ac:dyDescent="0.2">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ht="14.25" x14ac:dyDescent="0.2">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ht="14.25" x14ac:dyDescent="0.2">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ht="14.25" x14ac:dyDescent="0.2">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ht="14.25" x14ac:dyDescent="0.2">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ht="14.25" x14ac:dyDescent="0.2">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ht="14.25" x14ac:dyDescent="0.2">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ht="14.25" x14ac:dyDescent="0.2">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ht="14.25" x14ac:dyDescent="0.2">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ht="14.25" x14ac:dyDescent="0.2">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ht="14.25" x14ac:dyDescent="0.2">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ht="14.25" x14ac:dyDescent="0.2">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ht="14.25" x14ac:dyDescent="0.2">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ht="14.25" x14ac:dyDescent="0.2">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ht="14.25" x14ac:dyDescent="0.2">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ht="14.25" x14ac:dyDescent="0.2">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ht="14.25" x14ac:dyDescent="0.2">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ht="14.25" x14ac:dyDescent="0.2">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ht="14.25" x14ac:dyDescent="0.2">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ht="14.25" x14ac:dyDescent="0.2">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ht="14.25" x14ac:dyDescent="0.2">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ht="14.25" x14ac:dyDescent="0.2">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ht="14.25" x14ac:dyDescent="0.2">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ht="14.25" x14ac:dyDescent="0.2">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ht="14.25" x14ac:dyDescent="0.2">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ht="14.25" x14ac:dyDescent="0.2">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ht="14.25" x14ac:dyDescent="0.2">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ht="14.25" x14ac:dyDescent="0.2">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ht="14.25" x14ac:dyDescent="0.2">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ht="14.25" x14ac:dyDescent="0.2">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ht="14.25" x14ac:dyDescent="0.2">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ht="14.25" x14ac:dyDescent="0.2">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ht="14.25" x14ac:dyDescent="0.2">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ht="14.25" x14ac:dyDescent="0.2">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ht="14.25" x14ac:dyDescent="0.2">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ht="14.25" x14ac:dyDescent="0.2">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ht="14.25" x14ac:dyDescent="0.2">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ht="14.25" x14ac:dyDescent="0.2">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ht="14.25" x14ac:dyDescent="0.2">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ht="14.25" x14ac:dyDescent="0.2">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ht="14.25" x14ac:dyDescent="0.2">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ht="14.25" x14ac:dyDescent="0.2">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ht="14.25" x14ac:dyDescent="0.2">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ht="14.25" x14ac:dyDescent="0.2">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ht="14.25" x14ac:dyDescent="0.2">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ht="14.25" x14ac:dyDescent="0.2">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ht="14.25" x14ac:dyDescent="0.2">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ht="14.25" x14ac:dyDescent="0.2">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ht="14.25" x14ac:dyDescent="0.2">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ht="14.25" x14ac:dyDescent="0.2">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ht="14.25" x14ac:dyDescent="0.2">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ht="14.25" x14ac:dyDescent="0.2">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ht="14.25" x14ac:dyDescent="0.2">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ht="14.25" x14ac:dyDescent="0.2">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ht="14.25" x14ac:dyDescent="0.2">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ht="14.25" x14ac:dyDescent="0.2">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ht="14.25" x14ac:dyDescent="0.2">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ht="14.25" x14ac:dyDescent="0.2">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ht="14.25" x14ac:dyDescent="0.2">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ht="14.25" x14ac:dyDescent="0.2">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ht="14.25" x14ac:dyDescent="0.2">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ht="14.25" x14ac:dyDescent="0.2">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ht="14.25" x14ac:dyDescent="0.2">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ht="14.25" x14ac:dyDescent="0.2">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ht="14.25" x14ac:dyDescent="0.2">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ht="14.25" x14ac:dyDescent="0.2">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ht="14.25" x14ac:dyDescent="0.2">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ht="14.25" x14ac:dyDescent="0.2">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ht="14.25" x14ac:dyDescent="0.2">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ht="14.25" x14ac:dyDescent="0.2">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ht="14.25" x14ac:dyDescent="0.2">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ht="14.25" x14ac:dyDescent="0.2">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ht="14.25" x14ac:dyDescent="0.2">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ht="14.25" x14ac:dyDescent="0.2">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ht="14.25" x14ac:dyDescent="0.2">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ht="14.25" x14ac:dyDescent="0.2">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ht="14.25" x14ac:dyDescent="0.2">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ht="14.25" x14ac:dyDescent="0.2">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ht="14.25" x14ac:dyDescent="0.2">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ht="14.25" x14ac:dyDescent="0.2">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ht="14.25" x14ac:dyDescent="0.2">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ht="14.25" x14ac:dyDescent="0.2">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ht="14.25" x14ac:dyDescent="0.2">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ht="14.25" x14ac:dyDescent="0.2">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ht="14.25" x14ac:dyDescent="0.2">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ht="14.25" x14ac:dyDescent="0.2">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ht="14.25" x14ac:dyDescent="0.2">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ht="14.25" x14ac:dyDescent="0.2">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ht="14.25" x14ac:dyDescent="0.2">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ht="14.25" x14ac:dyDescent="0.2">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ht="14.25" x14ac:dyDescent="0.2">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ht="14.25" x14ac:dyDescent="0.2">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ht="14.25" x14ac:dyDescent="0.2">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ht="14.25" x14ac:dyDescent="0.2">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ht="14.25" x14ac:dyDescent="0.2">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ht="14.25" x14ac:dyDescent="0.2">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ht="14.25" x14ac:dyDescent="0.2">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ht="14.25" x14ac:dyDescent="0.2">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ht="14.25" x14ac:dyDescent="0.2">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ht="14.25" x14ac:dyDescent="0.2">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ht="14.25" x14ac:dyDescent="0.2">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ht="14.25" x14ac:dyDescent="0.2">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ht="14.25" x14ac:dyDescent="0.2">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ht="14.25" x14ac:dyDescent="0.2">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ht="14.25" x14ac:dyDescent="0.2">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ht="14.25" x14ac:dyDescent="0.2">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ht="14.25" x14ac:dyDescent="0.2">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ht="14.25" x14ac:dyDescent="0.2">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ht="14.25" x14ac:dyDescent="0.2">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ht="14.25" x14ac:dyDescent="0.2">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ht="14.25" x14ac:dyDescent="0.2">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ht="14.25" x14ac:dyDescent="0.2">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ht="14.25" x14ac:dyDescent="0.2">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ht="14.25" x14ac:dyDescent="0.2">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ht="14.25" x14ac:dyDescent="0.2">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ht="14.25" x14ac:dyDescent="0.2">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ht="14.25" x14ac:dyDescent="0.2">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ht="14.25" x14ac:dyDescent="0.2">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ht="14.25" x14ac:dyDescent="0.2">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ht="14.25" x14ac:dyDescent="0.2">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ht="14.25" x14ac:dyDescent="0.2">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ht="14.25" x14ac:dyDescent="0.2">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ht="14.25" x14ac:dyDescent="0.2">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ht="14.25" x14ac:dyDescent="0.2">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ht="14.25" x14ac:dyDescent="0.2">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ht="14.25" x14ac:dyDescent="0.2">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ht="14.25" x14ac:dyDescent="0.2">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ht="14.25" x14ac:dyDescent="0.2">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ht="14.25" x14ac:dyDescent="0.2">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ht="14.25" x14ac:dyDescent="0.2">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ht="14.25" x14ac:dyDescent="0.2">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ht="14.25" x14ac:dyDescent="0.2">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ht="14.25" x14ac:dyDescent="0.2">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ht="14.25" x14ac:dyDescent="0.2">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ht="14.25" x14ac:dyDescent="0.2">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ht="14.25" x14ac:dyDescent="0.2">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ht="14.25" x14ac:dyDescent="0.2">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ht="14.25" x14ac:dyDescent="0.2">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ht="14.25" x14ac:dyDescent="0.2">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ht="14.25" x14ac:dyDescent="0.2">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ht="14.25" x14ac:dyDescent="0.2">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ht="14.25" x14ac:dyDescent="0.2">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ht="14.25" x14ac:dyDescent="0.2">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ht="14.25" x14ac:dyDescent="0.2">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ht="14.25" x14ac:dyDescent="0.2">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ht="14.25" x14ac:dyDescent="0.2">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ht="14.25" x14ac:dyDescent="0.2">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ht="14.25" x14ac:dyDescent="0.2">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ht="14.25" x14ac:dyDescent="0.2">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ht="14.25" x14ac:dyDescent="0.2">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ht="14.25" x14ac:dyDescent="0.2">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ht="14.25" x14ac:dyDescent="0.2">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ht="14.25" x14ac:dyDescent="0.2">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ht="14.25" x14ac:dyDescent="0.2">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ht="14.25" x14ac:dyDescent="0.2">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ht="14.25" x14ac:dyDescent="0.2">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ht="14.25" x14ac:dyDescent="0.2">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ht="14.25" x14ac:dyDescent="0.2">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ht="14.25" x14ac:dyDescent="0.2">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ht="14.25" x14ac:dyDescent="0.2">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ht="14.25" x14ac:dyDescent="0.2">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ht="14.25" x14ac:dyDescent="0.2">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ht="14.25" x14ac:dyDescent="0.2">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ht="14.25" x14ac:dyDescent="0.2">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ht="14.25" x14ac:dyDescent="0.2">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ht="14.25" x14ac:dyDescent="0.2">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ht="14.25" x14ac:dyDescent="0.2">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ht="14.25" x14ac:dyDescent="0.2">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ht="14.25" x14ac:dyDescent="0.2">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ht="14.25" x14ac:dyDescent="0.2">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ht="14.25" x14ac:dyDescent="0.2">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ht="14.25" x14ac:dyDescent="0.2">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ht="14.25" x14ac:dyDescent="0.2">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ht="14.25" x14ac:dyDescent="0.2">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ht="14.25" x14ac:dyDescent="0.2">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ht="14.25" x14ac:dyDescent="0.2">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ht="14.25" x14ac:dyDescent="0.2">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ht="14.25" x14ac:dyDescent="0.2">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ht="14.25" x14ac:dyDescent="0.2">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ht="14.25" x14ac:dyDescent="0.2">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ht="14.25" x14ac:dyDescent="0.2">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ht="14.25" x14ac:dyDescent="0.2">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ht="14.25" x14ac:dyDescent="0.2">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ht="14.25" x14ac:dyDescent="0.2">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ht="14.25" x14ac:dyDescent="0.2">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ht="14.25" x14ac:dyDescent="0.2">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ht="14.25" x14ac:dyDescent="0.2">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ht="14.25" x14ac:dyDescent="0.2">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ht="14.25" x14ac:dyDescent="0.2">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ht="14.25" x14ac:dyDescent="0.2">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ht="14.25" x14ac:dyDescent="0.2">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ht="14.25" x14ac:dyDescent="0.2">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ht="14.25" x14ac:dyDescent="0.2">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ht="14.25" x14ac:dyDescent="0.2">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ht="14.25" x14ac:dyDescent="0.2">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ht="14.25" x14ac:dyDescent="0.2">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ht="14.25" x14ac:dyDescent="0.2">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ht="14.25" x14ac:dyDescent="0.2">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ht="14.25" x14ac:dyDescent="0.2">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ht="14.25" x14ac:dyDescent="0.2">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ht="14.25" x14ac:dyDescent="0.2">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ht="14.25" x14ac:dyDescent="0.2">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ht="14.25" x14ac:dyDescent="0.2">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ht="14.25" x14ac:dyDescent="0.2">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ht="14.25" x14ac:dyDescent="0.2">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ht="14.25" x14ac:dyDescent="0.2">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ht="14.25" x14ac:dyDescent="0.2">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ht="14.25" x14ac:dyDescent="0.2">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ht="14.25" x14ac:dyDescent="0.2">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ht="14.25" x14ac:dyDescent="0.2">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ht="14.25" x14ac:dyDescent="0.2">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ht="14.25" x14ac:dyDescent="0.2">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ht="14.25" x14ac:dyDescent="0.2">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ht="14.25" x14ac:dyDescent="0.2">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ht="14.25" x14ac:dyDescent="0.2">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ht="14.25" x14ac:dyDescent="0.2">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ht="14.25" x14ac:dyDescent="0.2">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ht="14.25" x14ac:dyDescent="0.2">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ht="14.25" x14ac:dyDescent="0.2">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ht="14.25" x14ac:dyDescent="0.2">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ht="14.25" x14ac:dyDescent="0.2">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ht="14.25" x14ac:dyDescent="0.2">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ht="14.25" x14ac:dyDescent="0.2">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ht="14.25" x14ac:dyDescent="0.2">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ht="14.25" x14ac:dyDescent="0.2">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ht="14.25" x14ac:dyDescent="0.2">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ht="14.25" x14ac:dyDescent="0.2">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ht="14.25" x14ac:dyDescent="0.2">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ht="14.25" x14ac:dyDescent="0.2">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ht="14.25" x14ac:dyDescent="0.2">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ht="14.25" x14ac:dyDescent="0.2">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ht="14.25" x14ac:dyDescent="0.2">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ht="14.25" x14ac:dyDescent="0.2">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ht="14.25" x14ac:dyDescent="0.2">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ht="14.25" x14ac:dyDescent="0.2">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ht="14.25" x14ac:dyDescent="0.2">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ht="14.25" x14ac:dyDescent="0.2">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ht="14.25" x14ac:dyDescent="0.2">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ht="14.25" x14ac:dyDescent="0.2">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ht="14.25" x14ac:dyDescent="0.2">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ht="14.25" x14ac:dyDescent="0.2">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ht="14.25" x14ac:dyDescent="0.2">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ht="14.25" x14ac:dyDescent="0.2">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ht="14.25" x14ac:dyDescent="0.2">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ht="14.25" x14ac:dyDescent="0.2">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ht="14.25" x14ac:dyDescent="0.2">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ht="14.25" x14ac:dyDescent="0.2">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ht="14.25" x14ac:dyDescent="0.2">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ht="14.25" x14ac:dyDescent="0.2">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ht="14.25" x14ac:dyDescent="0.2">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ht="14.25" x14ac:dyDescent="0.2">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ht="14.25" x14ac:dyDescent="0.2">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ht="14.25" x14ac:dyDescent="0.2">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ht="14.25" x14ac:dyDescent="0.2">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ht="14.25" x14ac:dyDescent="0.2">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ht="14.25" x14ac:dyDescent="0.2">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ht="14.25" x14ac:dyDescent="0.2">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ht="14.25" x14ac:dyDescent="0.2">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ht="14.25" x14ac:dyDescent="0.2">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ht="14.25" x14ac:dyDescent="0.2">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ht="14.25" x14ac:dyDescent="0.2">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ht="14.25" x14ac:dyDescent="0.2">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ht="14.25" x14ac:dyDescent="0.2">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ht="14.25" x14ac:dyDescent="0.2">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ht="14.25" x14ac:dyDescent="0.2">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ht="14.25" x14ac:dyDescent="0.2">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ht="14.25" x14ac:dyDescent="0.2">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ht="14.25" x14ac:dyDescent="0.2">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ht="14.25" x14ac:dyDescent="0.2">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ht="14.25" x14ac:dyDescent="0.2">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ht="14.25" x14ac:dyDescent="0.2">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ht="14.25" x14ac:dyDescent="0.2">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ht="14.25" x14ac:dyDescent="0.2">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ht="14.25" x14ac:dyDescent="0.2">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ht="14.25" x14ac:dyDescent="0.2">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ht="14.25" x14ac:dyDescent="0.2">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ht="14.25" x14ac:dyDescent="0.2">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ht="14.25" x14ac:dyDescent="0.2">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ht="14.25" x14ac:dyDescent="0.2">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ht="14.25" x14ac:dyDescent="0.2">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ht="14.25" x14ac:dyDescent="0.2">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ht="14.25" x14ac:dyDescent="0.2">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ht="14.25" x14ac:dyDescent="0.2">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ht="14.25" x14ac:dyDescent="0.2">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ht="14.25" x14ac:dyDescent="0.2">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ht="14.25" x14ac:dyDescent="0.2">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ht="14.25" x14ac:dyDescent="0.2">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ht="14.25" x14ac:dyDescent="0.2">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ht="14.25" x14ac:dyDescent="0.2">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ht="14.25" x14ac:dyDescent="0.2">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ht="14.25" x14ac:dyDescent="0.2">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ht="14.25" x14ac:dyDescent="0.2">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ht="14.25" x14ac:dyDescent="0.2">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ht="14.25" x14ac:dyDescent="0.2">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ht="14.25" x14ac:dyDescent="0.2">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ht="14.25" x14ac:dyDescent="0.2">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ht="14.25" x14ac:dyDescent="0.2">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ht="14.25" x14ac:dyDescent="0.2">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ht="14.25" x14ac:dyDescent="0.2">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ht="14.25" x14ac:dyDescent="0.2">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ht="14.25" x14ac:dyDescent="0.2">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ht="14.25" x14ac:dyDescent="0.2">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ht="14.25" x14ac:dyDescent="0.2">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ht="14.25" x14ac:dyDescent="0.2">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ht="14.25" x14ac:dyDescent="0.2">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ht="14.25" x14ac:dyDescent="0.2">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ht="14.25" x14ac:dyDescent="0.2">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ht="14.25" x14ac:dyDescent="0.2">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ht="14.25" x14ac:dyDescent="0.2">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ht="14.25" x14ac:dyDescent="0.2">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ht="14.25" x14ac:dyDescent="0.2">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ht="14.25" x14ac:dyDescent="0.2">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ht="14.25" x14ac:dyDescent="0.2">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ht="14.25" x14ac:dyDescent="0.2">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ht="14.25" x14ac:dyDescent="0.2">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ht="14.25" x14ac:dyDescent="0.2">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ht="14.25" x14ac:dyDescent="0.2">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ht="14.25" x14ac:dyDescent="0.2">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ht="14.25" x14ac:dyDescent="0.2">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ht="14.25" x14ac:dyDescent="0.2">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ht="14.25" x14ac:dyDescent="0.2">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ht="14.25" x14ac:dyDescent="0.2">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ht="14.25" x14ac:dyDescent="0.2">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ht="14.25" x14ac:dyDescent="0.2">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ht="14.25" x14ac:dyDescent="0.2">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ht="14.25" x14ac:dyDescent="0.2">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ht="14.25" x14ac:dyDescent="0.2">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ht="14.25" x14ac:dyDescent="0.2">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ht="14.25" x14ac:dyDescent="0.2">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ht="14.25" x14ac:dyDescent="0.2">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ht="14.25" x14ac:dyDescent="0.2">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ht="14.25" x14ac:dyDescent="0.2">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ht="14.25" x14ac:dyDescent="0.2">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ht="14.25" x14ac:dyDescent="0.2">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ht="14.25" x14ac:dyDescent="0.2">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ht="14.25" x14ac:dyDescent="0.2">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ht="14.25" x14ac:dyDescent="0.2">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ht="14.25" x14ac:dyDescent="0.2">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ht="14.25" x14ac:dyDescent="0.2">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ht="14.25" x14ac:dyDescent="0.2">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ht="14.25" x14ac:dyDescent="0.2">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ht="14.25" x14ac:dyDescent="0.2">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ht="14.25" x14ac:dyDescent="0.2">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ht="14.25" x14ac:dyDescent="0.2">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ht="14.25" x14ac:dyDescent="0.2">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ht="14.25" x14ac:dyDescent="0.2">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ht="14.25" x14ac:dyDescent="0.2">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ht="14.25" x14ac:dyDescent="0.2">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ht="14.25" x14ac:dyDescent="0.2">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ht="14.25" x14ac:dyDescent="0.2">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ht="14.25" x14ac:dyDescent="0.2">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ht="14.25" x14ac:dyDescent="0.2">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ht="14.25" x14ac:dyDescent="0.2">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ht="14.25" x14ac:dyDescent="0.2">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ht="14.25" x14ac:dyDescent="0.2">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ht="14.25" x14ac:dyDescent="0.2">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ht="14.25" x14ac:dyDescent="0.2">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ht="14.25" x14ac:dyDescent="0.2">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ht="14.25" x14ac:dyDescent="0.2">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ht="14.25" x14ac:dyDescent="0.2">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ht="14.25" x14ac:dyDescent="0.2">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ht="14.25" x14ac:dyDescent="0.2">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ht="14.25" x14ac:dyDescent="0.2">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ht="14.25" x14ac:dyDescent="0.2">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ht="14.25" x14ac:dyDescent="0.2">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ht="14.25" x14ac:dyDescent="0.2">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ht="14.25" x14ac:dyDescent="0.2">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ht="14.25" x14ac:dyDescent="0.2">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ht="14.25" x14ac:dyDescent="0.2">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ht="14.25" x14ac:dyDescent="0.2">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ht="14.25" x14ac:dyDescent="0.2">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ht="14.25" x14ac:dyDescent="0.2">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ht="14.25" x14ac:dyDescent="0.2">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ht="14.25" x14ac:dyDescent="0.2">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ht="14.25" x14ac:dyDescent="0.2">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ht="14.25" x14ac:dyDescent="0.2">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ht="14.25" x14ac:dyDescent="0.2">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ht="14.25" x14ac:dyDescent="0.2">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ht="14.25" x14ac:dyDescent="0.2">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ht="14.25" x14ac:dyDescent="0.2">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ht="14.25" x14ac:dyDescent="0.2">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ht="14.25" x14ac:dyDescent="0.2">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ht="14.25" x14ac:dyDescent="0.2">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ht="14.25" x14ac:dyDescent="0.2">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ht="14.25" x14ac:dyDescent="0.2">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ht="14.25" x14ac:dyDescent="0.2">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ht="14.25" x14ac:dyDescent="0.2">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ht="14.25" x14ac:dyDescent="0.2">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ht="14.25" x14ac:dyDescent="0.2">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ht="14.25" x14ac:dyDescent="0.2">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ht="14.25" x14ac:dyDescent="0.2">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ht="14.25" x14ac:dyDescent="0.2">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ht="14.25" x14ac:dyDescent="0.2">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ht="14.25" x14ac:dyDescent="0.2">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ht="14.25" x14ac:dyDescent="0.2">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ht="14.25" x14ac:dyDescent="0.2">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ht="14.25" x14ac:dyDescent="0.2">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ht="14.25" x14ac:dyDescent="0.2">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ht="14.25" x14ac:dyDescent="0.2">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ht="14.25" x14ac:dyDescent="0.2">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ht="14.25" x14ac:dyDescent="0.2">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ht="14.25" x14ac:dyDescent="0.2">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ht="14.25" x14ac:dyDescent="0.2">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ht="14.25" x14ac:dyDescent="0.2">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ht="14.25" x14ac:dyDescent="0.2">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ht="14.25" x14ac:dyDescent="0.2">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ht="14.25" x14ac:dyDescent="0.2">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ht="14.25" x14ac:dyDescent="0.2">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ht="14.25" x14ac:dyDescent="0.2">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ht="14.25" x14ac:dyDescent="0.2">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ht="14.25" x14ac:dyDescent="0.2">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ht="14.25" x14ac:dyDescent="0.2">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ht="14.25" x14ac:dyDescent="0.2">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ht="14.25" x14ac:dyDescent="0.2">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ht="14.25" x14ac:dyDescent="0.2">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ht="14.25" x14ac:dyDescent="0.2">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ht="14.25" x14ac:dyDescent="0.2">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ht="14.25" x14ac:dyDescent="0.2">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ht="14.25" x14ac:dyDescent="0.2">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ht="14.25" x14ac:dyDescent="0.2">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ht="14.25" x14ac:dyDescent="0.2">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ht="14.25" x14ac:dyDescent="0.2">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ht="14.25" x14ac:dyDescent="0.2">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ht="14.25" x14ac:dyDescent="0.2">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ht="14.25" x14ac:dyDescent="0.2">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ht="14.25" x14ac:dyDescent="0.2">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ht="14.25" x14ac:dyDescent="0.2">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ht="14.25" x14ac:dyDescent="0.2">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ht="14.25" x14ac:dyDescent="0.2">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ht="14.25" x14ac:dyDescent="0.2">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ht="14.25" x14ac:dyDescent="0.2">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ht="14.25" x14ac:dyDescent="0.2">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ht="14.25" x14ac:dyDescent="0.2">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ht="14.25" x14ac:dyDescent="0.2">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ht="14.25" x14ac:dyDescent="0.2">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ht="14.25" x14ac:dyDescent="0.2">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ht="14.25" x14ac:dyDescent="0.2">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ht="14.25" x14ac:dyDescent="0.2">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ht="14.25" x14ac:dyDescent="0.2">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ht="14.25" x14ac:dyDescent="0.2">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ht="14.25" x14ac:dyDescent="0.2">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ht="14.25" x14ac:dyDescent="0.2">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ht="14.25" x14ac:dyDescent="0.2">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ht="14.25" x14ac:dyDescent="0.2">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ht="14.25" x14ac:dyDescent="0.2">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ht="14.25" x14ac:dyDescent="0.2">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ht="14.25" x14ac:dyDescent="0.2">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ht="14.25" x14ac:dyDescent="0.2">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ht="14.25" x14ac:dyDescent="0.2">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ht="14.25" x14ac:dyDescent="0.2">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ht="14.25" x14ac:dyDescent="0.2">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ht="14.25" x14ac:dyDescent="0.2">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ht="14.25" x14ac:dyDescent="0.2">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ht="14.25" x14ac:dyDescent="0.2">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ht="14.25" x14ac:dyDescent="0.2">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ht="14.25" x14ac:dyDescent="0.2">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ht="14.25" x14ac:dyDescent="0.2">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ht="14.25" x14ac:dyDescent="0.2">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ht="14.25" x14ac:dyDescent="0.2">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ht="14.25" x14ac:dyDescent="0.2">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ht="14.25" x14ac:dyDescent="0.2">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ht="14.25" x14ac:dyDescent="0.2">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ht="14.25" x14ac:dyDescent="0.2">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ht="14.25" x14ac:dyDescent="0.2">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ht="14.25" x14ac:dyDescent="0.2">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ht="14.25" x14ac:dyDescent="0.2">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ht="14.25" x14ac:dyDescent="0.2">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ht="14.25" x14ac:dyDescent="0.2">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ht="14.25" x14ac:dyDescent="0.2">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ht="14.25" x14ac:dyDescent="0.2">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ht="14.25" x14ac:dyDescent="0.2">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ht="14.25" x14ac:dyDescent="0.2">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ht="14.25" x14ac:dyDescent="0.2">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ht="14.25" x14ac:dyDescent="0.2">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ht="14.25" x14ac:dyDescent="0.2">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ht="14.25" x14ac:dyDescent="0.2">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ht="14.25" x14ac:dyDescent="0.2">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ht="14.25" x14ac:dyDescent="0.2">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ht="14.25" x14ac:dyDescent="0.2">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ht="14.25" x14ac:dyDescent="0.2">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ht="14.25" x14ac:dyDescent="0.2">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ht="14.25" x14ac:dyDescent="0.2">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ht="14.25" x14ac:dyDescent="0.2">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ht="14.25" x14ac:dyDescent="0.2">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ht="14.25" x14ac:dyDescent="0.2">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ht="14.25" x14ac:dyDescent="0.2">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ht="14.25" x14ac:dyDescent="0.2">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ht="14.25" x14ac:dyDescent="0.2">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ht="14.25" x14ac:dyDescent="0.2">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ht="14.25" x14ac:dyDescent="0.2">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ht="14.25" x14ac:dyDescent="0.2">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ht="14.25" x14ac:dyDescent="0.2">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ht="14.25" x14ac:dyDescent="0.2">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ht="14.25" x14ac:dyDescent="0.2">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ht="14.25" x14ac:dyDescent="0.2">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ht="14.25" x14ac:dyDescent="0.2">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ht="14.25" x14ac:dyDescent="0.2">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ht="14.25" x14ac:dyDescent="0.2">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ht="14.25" x14ac:dyDescent="0.2">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ht="14.25" x14ac:dyDescent="0.2">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ht="14.25" x14ac:dyDescent="0.2">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ht="14.25" x14ac:dyDescent="0.2">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ht="14.25" x14ac:dyDescent="0.2">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ht="14.25" x14ac:dyDescent="0.2">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ht="14.25" x14ac:dyDescent="0.2">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ht="14.25" x14ac:dyDescent="0.2">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ht="14.25" x14ac:dyDescent="0.2">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ht="14.25" x14ac:dyDescent="0.2">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ht="14.25" x14ac:dyDescent="0.2">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ht="14.25" x14ac:dyDescent="0.2">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ht="14.25" x14ac:dyDescent="0.2">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ht="14.25" x14ac:dyDescent="0.2">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ht="14.25" x14ac:dyDescent="0.2">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ht="14.25" x14ac:dyDescent="0.2">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ht="14.25" x14ac:dyDescent="0.2">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ht="14.25" x14ac:dyDescent="0.2">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ht="14.25" x14ac:dyDescent="0.2">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ht="14.25" x14ac:dyDescent="0.2">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ht="14.25" x14ac:dyDescent="0.2">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ht="14.25" x14ac:dyDescent="0.2">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ht="14.25" x14ac:dyDescent="0.2">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ht="14.25" x14ac:dyDescent="0.2">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ht="14.25" x14ac:dyDescent="0.2">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ht="14.25" x14ac:dyDescent="0.2">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ht="14.25" x14ac:dyDescent="0.2">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ht="14.25" x14ac:dyDescent="0.2">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ht="14.25" x14ac:dyDescent="0.2">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ht="14.25" x14ac:dyDescent="0.2">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ht="14.25" x14ac:dyDescent="0.2">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ht="14.25" x14ac:dyDescent="0.2">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ht="14.25" x14ac:dyDescent="0.2">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ht="14.25" x14ac:dyDescent="0.2">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ht="14.25" x14ac:dyDescent="0.2">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ht="14.25" x14ac:dyDescent="0.2">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ht="14.25" x14ac:dyDescent="0.2">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ht="14.25" x14ac:dyDescent="0.2">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ht="14.25" x14ac:dyDescent="0.2">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ht="14.25" x14ac:dyDescent="0.2">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ht="14.25" x14ac:dyDescent="0.2">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ht="14.25" x14ac:dyDescent="0.2">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ht="14.25" x14ac:dyDescent="0.2">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ht="14.25" x14ac:dyDescent="0.2">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ht="14.25" x14ac:dyDescent="0.2">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ht="14.25" x14ac:dyDescent="0.2">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ht="14.25" x14ac:dyDescent="0.2">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ht="14.25" x14ac:dyDescent="0.2">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ht="14.25" x14ac:dyDescent="0.2">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ht="14.25" x14ac:dyDescent="0.2">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ht="14.25" x14ac:dyDescent="0.2">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ht="14.25" x14ac:dyDescent="0.2">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ht="14.25" x14ac:dyDescent="0.2">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ht="14.25" x14ac:dyDescent="0.2">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ht="14.25" x14ac:dyDescent="0.2">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ht="14.25" x14ac:dyDescent="0.2">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ht="14.25" x14ac:dyDescent="0.2">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ht="14.25" x14ac:dyDescent="0.2">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ht="14.25" x14ac:dyDescent="0.2">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ht="14.25" x14ac:dyDescent="0.2">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ht="14.25" x14ac:dyDescent="0.2">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ht="14.25" x14ac:dyDescent="0.2">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ht="14.25" x14ac:dyDescent="0.2">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ht="14.25" x14ac:dyDescent="0.2">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ht="14.25" x14ac:dyDescent="0.2">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ht="14.25" x14ac:dyDescent="0.2">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ht="14.25" x14ac:dyDescent="0.2">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ht="14.25" x14ac:dyDescent="0.2">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ht="14.25" x14ac:dyDescent="0.2">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ht="14.25" x14ac:dyDescent="0.2">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ht="14.25" x14ac:dyDescent="0.2">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ht="14.25" x14ac:dyDescent="0.2">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ht="14.25" x14ac:dyDescent="0.2">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ht="14.25" x14ac:dyDescent="0.2">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ht="14.25" x14ac:dyDescent="0.2">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ht="14.25" x14ac:dyDescent="0.2">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ht="14.25" x14ac:dyDescent="0.2">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ht="14.25" x14ac:dyDescent="0.2">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ht="14.25" x14ac:dyDescent="0.2">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ht="14.25" x14ac:dyDescent="0.2">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ht="14.25" x14ac:dyDescent="0.2">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ht="14.25" x14ac:dyDescent="0.2">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ht="14.25" x14ac:dyDescent="0.2">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ht="14.25" x14ac:dyDescent="0.2">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ht="14.25" x14ac:dyDescent="0.2">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ht="14.25" x14ac:dyDescent="0.2">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ht="14.25" x14ac:dyDescent="0.2">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ht="14.25" x14ac:dyDescent="0.2">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ht="14.25" x14ac:dyDescent="0.2">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ht="14.25" x14ac:dyDescent="0.2">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ht="14.25" x14ac:dyDescent="0.2">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ht="14.25" x14ac:dyDescent="0.2">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ht="14.25" x14ac:dyDescent="0.2">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ht="14.25" x14ac:dyDescent="0.2">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ht="14.25" x14ac:dyDescent="0.2">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ht="14.25" x14ac:dyDescent="0.2">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ht="14.25" x14ac:dyDescent="0.2">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ht="14.25" x14ac:dyDescent="0.2">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ht="14.25" x14ac:dyDescent="0.2">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ht="14.25" x14ac:dyDescent="0.2">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ht="14.25" x14ac:dyDescent="0.2">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ht="14.25" x14ac:dyDescent="0.2">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ht="14.25" x14ac:dyDescent="0.2">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ht="14.25" x14ac:dyDescent="0.2">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ht="14.25" x14ac:dyDescent="0.2">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ht="14.25" x14ac:dyDescent="0.2">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ht="14.25" x14ac:dyDescent="0.2">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ht="14.25" x14ac:dyDescent="0.2">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ht="14.25" x14ac:dyDescent="0.2">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ht="14.25" x14ac:dyDescent="0.2">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ht="14.25" x14ac:dyDescent="0.2">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ht="14.25" x14ac:dyDescent="0.2">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ht="14.25" x14ac:dyDescent="0.2">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ht="14.25" x14ac:dyDescent="0.2">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ht="14.25" x14ac:dyDescent="0.2">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ht="14.25" x14ac:dyDescent="0.2">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ht="14.25" x14ac:dyDescent="0.2">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ht="14.25" x14ac:dyDescent="0.2">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ht="14.25" x14ac:dyDescent="0.2">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ht="14.25" x14ac:dyDescent="0.2">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ht="14.25" x14ac:dyDescent="0.2">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ht="14.25" x14ac:dyDescent="0.2">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ht="14.25" x14ac:dyDescent="0.2">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ht="14.25" x14ac:dyDescent="0.2">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ht="14.25" x14ac:dyDescent="0.2">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ht="14.25" x14ac:dyDescent="0.2">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ht="14.25" x14ac:dyDescent="0.2">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ht="14.25" x14ac:dyDescent="0.2">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ht="14.25" x14ac:dyDescent="0.2">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ht="14.25" x14ac:dyDescent="0.2">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ht="14.25" x14ac:dyDescent="0.2">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ht="14.25" x14ac:dyDescent="0.2">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ht="14.25" x14ac:dyDescent="0.2">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ht="14.25" x14ac:dyDescent="0.2">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ht="14.25" x14ac:dyDescent="0.2">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ht="14.25" x14ac:dyDescent="0.2">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ht="14.25" x14ac:dyDescent="0.2">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8DDF4-38E9-48A5-9976-95412C86F4CD}">
  <dimension ref="A1:AEX148"/>
  <sheetViews>
    <sheetView tabSelected="1" zoomScale="106" zoomScaleNormal="55" workbookViewId="0">
      <selection activeCell="AB16" sqref="AB16"/>
    </sheetView>
  </sheetViews>
  <sheetFormatPr defaultRowHeight="14.25" x14ac:dyDescent="0.2"/>
  <cols>
    <col min="1" max="1" width="2.625" customWidth="1"/>
    <col min="2" max="2" width="1.625" customWidth="1"/>
    <col min="5" max="5" width="9" customWidth="1"/>
    <col min="16" max="16" width="5.125" customWidth="1"/>
    <col min="17" max="17" width="9.5" customWidth="1"/>
  </cols>
  <sheetData>
    <row r="1" spans="1:830" s="24" customFormat="1" x14ac:dyDescent="0.2">
      <c r="Z1" s="46"/>
      <c r="AA1" s="46"/>
      <c r="AB1" s="46"/>
      <c r="AC1" s="46"/>
      <c r="AD1" s="46"/>
      <c r="AE1" s="46"/>
      <c r="AF1" s="46"/>
      <c r="AG1" s="46"/>
      <c r="AH1" s="46"/>
      <c r="AI1" s="46"/>
      <c r="AJ1" s="46"/>
      <c r="AK1" s="46"/>
      <c r="AL1" s="46"/>
      <c r="AM1" s="46"/>
      <c r="AN1" s="46"/>
      <c r="AO1" s="46"/>
      <c r="AP1" s="46"/>
      <c r="AQ1" s="46"/>
      <c r="AR1" s="46"/>
      <c r="AS1" s="46"/>
      <c r="AT1" s="46"/>
      <c r="AU1" s="46"/>
      <c r="AV1" s="46"/>
      <c r="AW1" s="46"/>
      <c r="AX1" s="46"/>
      <c r="AY1" s="46"/>
      <c r="AZ1" s="46"/>
      <c r="BA1" s="46"/>
      <c r="BB1" s="46"/>
      <c r="BC1" s="46"/>
      <c r="BD1" s="46"/>
      <c r="BE1" s="46"/>
      <c r="BF1" s="46"/>
      <c r="BG1" s="46"/>
      <c r="BH1" s="46"/>
      <c r="BI1" s="46"/>
      <c r="BJ1" s="46"/>
      <c r="BK1" s="46"/>
      <c r="BL1" s="46"/>
      <c r="BM1" s="46"/>
      <c r="BN1" s="46"/>
      <c r="BO1" s="46"/>
      <c r="BP1" s="46"/>
      <c r="BQ1" s="46"/>
      <c r="BR1" s="46"/>
      <c r="BS1" s="46"/>
      <c r="BT1" s="46"/>
      <c r="BU1" s="46"/>
      <c r="BV1" s="46"/>
      <c r="BW1" s="46"/>
      <c r="BX1" s="46"/>
      <c r="BY1" s="46"/>
      <c r="BZ1" s="46"/>
      <c r="CA1" s="46"/>
      <c r="CB1" s="46"/>
      <c r="CC1" s="46"/>
      <c r="CD1" s="46"/>
      <c r="CE1" s="46"/>
      <c r="CF1" s="46"/>
      <c r="CG1" s="46"/>
      <c r="CH1" s="46"/>
      <c r="CI1" s="46"/>
      <c r="CJ1" s="46"/>
      <c r="CK1" s="46"/>
      <c r="CL1" s="46"/>
      <c r="CM1" s="46"/>
      <c r="CN1" s="46"/>
      <c r="CO1" s="46"/>
      <c r="CP1" s="46"/>
      <c r="CQ1" s="46"/>
      <c r="CR1" s="46"/>
      <c r="CS1" s="46"/>
      <c r="CT1" s="46"/>
      <c r="CU1" s="46"/>
      <c r="CV1" s="46"/>
      <c r="CW1" s="46"/>
      <c r="CX1" s="46"/>
      <c r="CY1" s="46"/>
      <c r="CZ1" s="46"/>
      <c r="DA1" s="46"/>
      <c r="DB1" s="46"/>
      <c r="DC1" s="46"/>
      <c r="DD1" s="46"/>
      <c r="DE1" s="46"/>
      <c r="DF1" s="46"/>
      <c r="DG1" s="46"/>
      <c r="DH1" s="46"/>
      <c r="DI1" s="46"/>
      <c r="DJ1" s="46"/>
      <c r="DK1" s="46"/>
      <c r="DL1" s="46"/>
      <c r="DM1" s="46"/>
      <c r="DN1" s="46"/>
      <c r="DO1" s="46"/>
      <c r="DP1" s="46"/>
      <c r="DQ1" s="46"/>
      <c r="DR1" s="46"/>
      <c r="DS1" s="46"/>
      <c r="DT1" s="46"/>
      <c r="DU1" s="46"/>
      <c r="DV1" s="46"/>
      <c r="DW1" s="46"/>
      <c r="DX1" s="46"/>
      <c r="DY1" s="46"/>
      <c r="DZ1" s="46"/>
      <c r="EA1" s="46"/>
      <c r="EB1" s="46"/>
      <c r="EC1" s="46"/>
      <c r="ED1" s="46"/>
      <c r="EE1" s="46"/>
      <c r="EF1" s="46"/>
      <c r="EG1" s="46"/>
      <c r="EH1" s="46"/>
      <c r="EI1" s="46"/>
      <c r="EJ1" s="46"/>
      <c r="EK1" s="46"/>
      <c r="EL1" s="46"/>
      <c r="EM1" s="46"/>
      <c r="EN1" s="46"/>
      <c r="EO1" s="46"/>
      <c r="EP1" s="46"/>
      <c r="EQ1" s="46"/>
      <c r="ER1" s="46"/>
      <c r="ES1" s="46"/>
      <c r="ET1" s="46"/>
      <c r="EU1" s="46"/>
      <c r="EV1" s="46"/>
      <c r="EW1" s="46"/>
      <c r="EX1" s="46"/>
      <c r="EY1" s="46"/>
      <c r="EZ1" s="46"/>
      <c r="FA1" s="46"/>
      <c r="FB1" s="46"/>
      <c r="FC1" s="46"/>
      <c r="FD1" s="46"/>
      <c r="FE1" s="46"/>
      <c r="FF1" s="46"/>
      <c r="FG1" s="46"/>
      <c r="FH1" s="46"/>
      <c r="FI1" s="46"/>
      <c r="FJ1" s="46"/>
      <c r="FK1" s="46"/>
      <c r="FL1" s="46"/>
      <c r="FM1" s="46"/>
      <c r="FN1" s="46"/>
      <c r="FO1" s="46"/>
      <c r="FP1" s="46"/>
      <c r="FQ1" s="46"/>
      <c r="FR1" s="46"/>
      <c r="FS1" s="46"/>
      <c r="FT1" s="46"/>
      <c r="FU1" s="46"/>
      <c r="FV1" s="46"/>
      <c r="FW1" s="46"/>
      <c r="FX1" s="46"/>
      <c r="FY1" s="46"/>
      <c r="FZ1" s="46"/>
      <c r="GA1" s="46"/>
      <c r="GB1" s="46"/>
      <c r="GC1" s="46"/>
      <c r="GD1" s="46"/>
      <c r="GE1" s="46"/>
      <c r="GF1" s="46"/>
      <c r="GG1" s="46"/>
      <c r="GH1" s="46"/>
      <c r="GI1" s="46"/>
      <c r="GJ1" s="46"/>
      <c r="GK1" s="46"/>
      <c r="GL1" s="46"/>
      <c r="GM1" s="46"/>
      <c r="GN1" s="46"/>
      <c r="GO1" s="46"/>
      <c r="GP1" s="46"/>
      <c r="GQ1" s="46"/>
      <c r="GR1" s="46"/>
      <c r="GS1" s="46"/>
      <c r="GT1" s="46"/>
      <c r="GU1" s="46"/>
      <c r="GV1" s="46"/>
      <c r="GW1" s="46"/>
      <c r="GX1" s="46"/>
      <c r="GY1" s="46"/>
      <c r="GZ1" s="46"/>
      <c r="HA1" s="46"/>
      <c r="HB1" s="46"/>
      <c r="HC1" s="46"/>
      <c r="HD1" s="46"/>
      <c r="HE1" s="46"/>
      <c r="HF1" s="46"/>
      <c r="HG1" s="46"/>
      <c r="HH1" s="46"/>
      <c r="HI1" s="46"/>
      <c r="HJ1" s="46"/>
      <c r="HK1" s="46"/>
      <c r="HL1" s="46"/>
      <c r="HM1" s="46"/>
      <c r="HN1" s="46"/>
      <c r="HO1" s="46"/>
      <c r="HP1" s="46"/>
      <c r="HQ1" s="46"/>
      <c r="HR1" s="46"/>
      <c r="HS1" s="46"/>
      <c r="HT1" s="46"/>
      <c r="HU1" s="46"/>
      <c r="HV1" s="46"/>
      <c r="HW1" s="46"/>
      <c r="HX1" s="46"/>
      <c r="HY1" s="46"/>
      <c r="HZ1" s="46"/>
      <c r="IA1" s="46"/>
      <c r="IB1" s="46"/>
      <c r="IC1" s="46"/>
      <c r="ID1" s="46"/>
      <c r="IE1" s="46"/>
      <c r="IF1" s="46"/>
      <c r="IG1" s="46"/>
      <c r="IH1" s="46"/>
      <c r="II1" s="46"/>
      <c r="IJ1" s="46"/>
      <c r="IK1" s="46"/>
      <c r="IL1" s="46"/>
      <c r="IM1" s="46"/>
      <c r="IN1" s="46"/>
      <c r="IO1" s="46"/>
      <c r="IP1" s="46"/>
      <c r="IQ1" s="46"/>
      <c r="IR1" s="46"/>
      <c r="IS1" s="46"/>
      <c r="IT1" s="46"/>
      <c r="IU1" s="46"/>
      <c r="IV1" s="46"/>
      <c r="IW1" s="46"/>
      <c r="IX1" s="46"/>
      <c r="IY1" s="46"/>
      <c r="IZ1" s="46"/>
      <c r="JA1" s="46"/>
      <c r="JB1" s="46"/>
      <c r="JC1" s="46"/>
      <c r="JD1" s="46"/>
      <c r="JE1" s="46"/>
      <c r="JF1" s="46"/>
      <c r="JG1" s="46"/>
      <c r="JH1" s="46"/>
      <c r="JI1" s="46"/>
      <c r="JJ1" s="46"/>
      <c r="JK1" s="46"/>
      <c r="JL1" s="46"/>
      <c r="JM1" s="46"/>
      <c r="JN1" s="46"/>
      <c r="JO1" s="46"/>
      <c r="JP1" s="46"/>
      <c r="JQ1" s="46"/>
      <c r="JR1" s="46"/>
      <c r="JS1" s="46"/>
      <c r="JT1" s="46"/>
      <c r="JU1" s="46"/>
      <c r="JV1" s="46"/>
      <c r="JW1" s="46"/>
      <c r="JX1" s="46"/>
      <c r="JY1" s="46"/>
      <c r="JZ1" s="46"/>
      <c r="KA1" s="46"/>
      <c r="KB1" s="46"/>
      <c r="KC1" s="46"/>
      <c r="KD1" s="46"/>
      <c r="KE1" s="46"/>
      <c r="KF1" s="46"/>
      <c r="KG1" s="46"/>
      <c r="KH1" s="46"/>
      <c r="KI1" s="46"/>
      <c r="KJ1" s="46"/>
      <c r="KK1" s="46"/>
      <c r="KL1" s="46"/>
      <c r="KM1" s="46"/>
      <c r="KN1" s="46"/>
      <c r="KO1" s="46"/>
      <c r="KP1" s="46"/>
      <c r="KQ1" s="46"/>
      <c r="KR1" s="46"/>
      <c r="KS1" s="46"/>
      <c r="KT1" s="46"/>
      <c r="KU1" s="46"/>
      <c r="KV1" s="46"/>
      <c r="KW1" s="46"/>
      <c r="KX1" s="46"/>
      <c r="KY1" s="46"/>
      <c r="KZ1" s="46"/>
      <c r="LA1" s="46"/>
      <c r="LB1" s="46"/>
      <c r="LC1" s="46"/>
      <c r="LD1" s="46"/>
      <c r="LE1" s="46"/>
      <c r="LF1" s="46"/>
      <c r="LG1" s="46"/>
      <c r="LH1" s="46"/>
      <c r="LI1" s="46"/>
      <c r="LJ1" s="46"/>
      <c r="LK1" s="46"/>
      <c r="LL1" s="46"/>
      <c r="LM1" s="46"/>
      <c r="LN1" s="46"/>
      <c r="LO1" s="46"/>
      <c r="LP1" s="46"/>
      <c r="LQ1" s="46"/>
      <c r="LR1" s="46"/>
      <c r="LS1" s="46"/>
      <c r="LT1" s="46"/>
      <c r="LU1" s="46"/>
      <c r="LV1" s="46"/>
      <c r="LW1" s="46"/>
      <c r="LX1" s="46"/>
      <c r="LY1" s="46"/>
      <c r="LZ1" s="46"/>
      <c r="MA1" s="46"/>
      <c r="MB1" s="46"/>
      <c r="MC1" s="46"/>
      <c r="MD1" s="46"/>
      <c r="ME1" s="46"/>
      <c r="MF1" s="46"/>
      <c r="MG1" s="46"/>
      <c r="MH1" s="46"/>
      <c r="MI1" s="46"/>
      <c r="MJ1" s="46"/>
      <c r="MK1" s="46"/>
      <c r="ML1" s="46"/>
      <c r="MM1" s="46"/>
      <c r="MN1" s="46"/>
      <c r="MO1" s="46"/>
      <c r="MP1" s="46"/>
      <c r="MQ1" s="46"/>
      <c r="MR1" s="46"/>
      <c r="MS1" s="46"/>
      <c r="MT1" s="46"/>
      <c r="MU1" s="46"/>
      <c r="MV1" s="46"/>
      <c r="MW1" s="46"/>
      <c r="MX1" s="46"/>
      <c r="MY1" s="46"/>
      <c r="MZ1" s="46"/>
      <c r="NA1" s="46"/>
      <c r="NB1" s="46"/>
      <c r="NC1" s="46"/>
      <c r="ND1" s="46"/>
      <c r="NE1" s="46"/>
      <c r="NF1" s="46"/>
      <c r="NG1" s="46"/>
      <c r="NH1" s="46"/>
      <c r="NI1" s="46"/>
      <c r="NJ1" s="46"/>
      <c r="NK1" s="46"/>
      <c r="NL1" s="46"/>
      <c r="NM1" s="46"/>
      <c r="NN1" s="46"/>
      <c r="NO1" s="46"/>
      <c r="NP1" s="46"/>
      <c r="NQ1" s="46"/>
      <c r="NR1" s="46"/>
      <c r="NS1" s="46"/>
      <c r="NT1" s="46"/>
      <c r="NU1" s="46"/>
      <c r="NV1" s="46"/>
      <c r="NW1" s="46"/>
      <c r="NX1" s="46"/>
      <c r="NY1" s="46"/>
      <c r="NZ1" s="46"/>
      <c r="OA1" s="46"/>
      <c r="OB1" s="46"/>
      <c r="OC1" s="46"/>
      <c r="OD1" s="46"/>
      <c r="OE1" s="46"/>
      <c r="OF1" s="46"/>
      <c r="OG1" s="46"/>
      <c r="OH1" s="46"/>
      <c r="OI1" s="46"/>
      <c r="OJ1" s="46"/>
      <c r="OK1" s="46"/>
      <c r="OL1" s="46"/>
      <c r="OM1" s="46"/>
      <c r="ON1" s="46"/>
      <c r="OO1" s="46"/>
      <c r="OP1" s="46"/>
      <c r="OQ1" s="46"/>
      <c r="OR1" s="46"/>
      <c r="OS1" s="46"/>
      <c r="OT1" s="46"/>
      <c r="OU1" s="46"/>
      <c r="OV1" s="46"/>
      <c r="OW1" s="46"/>
      <c r="OX1" s="46"/>
      <c r="OY1" s="46"/>
      <c r="OZ1" s="46"/>
      <c r="PA1" s="46"/>
      <c r="PB1" s="46"/>
      <c r="PC1" s="46"/>
      <c r="PD1" s="46"/>
      <c r="PE1" s="46"/>
      <c r="PF1" s="46"/>
      <c r="PG1" s="46"/>
      <c r="PH1" s="46"/>
      <c r="PI1" s="46"/>
      <c r="PJ1" s="46"/>
      <c r="PK1" s="46"/>
      <c r="PL1" s="46"/>
      <c r="PM1" s="46"/>
      <c r="PN1" s="46"/>
      <c r="PO1" s="46"/>
      <c r="PP1" s="46"/>
      <c r="PQ1" s="46"/>
      <c r="PR1" s="46"/>
      <c r="PS1" s="46"/>
      <c r="PT1" s="46"/>
      <c r="PU1" s="46"/>
      <c r="PV1" s="46"/>
      <c r="PW1" s="46"/>
      <c r="PX1" s="46"/>
      <c r="PY1" s="46"/>
      <c r="PZ1" s="46"/>
      <c r="QA1" s="46"/>
      <c r="QB1" s="46"/>
      <c r="QC1" s="46"/>
      <c r="QD1" s="46"/>
      <c r="QE1" s="46"/>
      <c r="QF1" s="46"/>
      <c r="QG1" s="46"/>
      <c r="QH1" s="46"/>
      <c r="QI1" s="46"/>
      <c r="QJ1" s="46"/>
      <c r="QK1" s="46"/>
      <c r="QL1" s="46"/>
      <c r="QM1" s="46"/>
      <c r="QN1" s="46"/>
      <c r="QO1" s="46"/>
      <c r="QP1" s="46"/>
      <c r="QQ1" s="46"/>
      <c r="QR1" s="46"/>
      <c r="QS1" s="46"/>
      <c r="QT1" s="46"/>
      <c r="QU1" s="46"/>
      <c r="QV1" s="46"/>
      <c r="QW1" s="46"/>
      <c r="QX1" s="46"/>
      <c r="QY1" s="46"/>
      <c r="QZ1" s="46"/>
      <c r="RA1" s="46"/>
      <c r="RB1" s="46"/>
      <c r="RC1" s="46"/>
      <c r="RD1" s="46"/>
      <c r="RE1" s="46"/>
      <c r="RF1" s="46"/>
      <c r="RG1" s="46"/>
      <c r="RH1" s="46"/>
      <c r="RI1" s="46"/>
      <c r="RJ1" s="46"/>
      <c r="RK1" s="46"/>
      <c r="RL1" s="46"/>
      <c r="RM1" s="46"/>
      <c r="RN1" s="46"/>
      <c r="RO1" s="46"/>
      <c r="RP1" s="46"/>
      <c r="RQ1" s="46"/>
      <c r="RR1" s="46"/>
      <c r="RS1" s="46"/>
      <c r="RT1" s="46"/>
      <c r="RU1" s="46"/>
      <c r="RV1" s="46"/>
      <c r="RW1" s="46"/>
      <c r="RX1" s="46"/>
      <c r="RY1" s="46"/>
      <c r="RZ1" s="46"/>
      <c r="SA1" s="46"/>
      <c r="SB1" s="46"/>
      <c r="SC1" s="46"/>
      <c r="SD1" s="46"/>
      <c r="SE1" s="46"/>
      <c r="SF1" s="46"/>
      <c r="SG1" s="46"/>
      <c r="SH1" s="46"/>
      <c r="SI1" s="46"/>
      <c r="SJ1" s="46"/>
      <c r="SK1" s="46"/>
      <c r="SL1" s="46"/>
      <c r="SM1" s="46"/>
      <c r="SN1" s="46"/>
      <c r="SO1" s="46"/>
      <c r="SP1" s="46"/>
      <c r="SQ1" s="46"/>
      <c r="SR1" s="46"/>
      <c r="SS1" s="46"/>
      <c r="ST1" s="46"/>
      <c r="SU1" s="46"/>
      <c r="SV1" s="46"/>
      <c r="SW1" s="46"/>
      <c r="SX1" s="46"/>
      <c r="SY1" s="46"/>
      <c r="SZ1" s="46"/>
      <c r="TA1" s="46"/>
      <c r="TB1" s="46"/>
      <c r="TC1" s="46"/>
      <c r="TD1" s="46"/>
      <c r="TE1" s="46"/>
      <c r="TF1" s="46"/>
      <c r="TG1" s="46"/>
      <c r="TH1" s="46"/>
      <c r="TI1" s="46"/>
      <c r="TJ1" s="46"/>
      <c r="TK1" s="46"/>
      <c r="TL1" s="46"/>
      <c r="TM1" s="46"/>
      <c r="TN1" s="46"/>
      <c r="TO1" s="46"/>
      <c r="TP1" s="46"/>
      <c r="TQ1" s="46"/>
      <c r="TR1" s="46"/>
      <c r="TS1" s="46"/>
      <c r="TT1" s="46"/>
      <c r="TU1" s="46"/>
      <c r="TV1" s="46"/>
      <c r="TW1" s="46"/>
      <c r="TX1" s="46"/>
      <c r="TY1" s="46"/>
      <c r="TZ1" s="46"/>
      <c r="UA1" s="46"/>
      <c r="UB1" s="46"/>
      <c r="UC1" s="46"/>
      <c r="UD1" s="46"/>
      <c r="UE1" s="46"/>
      <c r="UF1" s="46"/>
      <c r="UG1" s="46"/>
      <c r="UH1" s="46"/>
      <c r="UI1" s="46"/>
      <c r="UJ1" s="46"/>
      <c r="UK1" s="46"/>
      <c r="UL1" s="46"/>
      <c r="UM1" s="46"/>
      <c r="UN1" s="46"/>
      <c r="UO1" s="46"/>
      <c r="UP1" s="46"/>
      <c r="UQ1" s="46"/>
      <c r="UR1" s="46"/>
      <c r="US1" s="46"/>
      <c r="UT1" s="46"/>
      <c r="UU1" s="46"/>
      <c r="UV1" s="46"/>
      <c r="UW1" s="46"/>
      <c r="UX1" s="46"/>
      <c r="UY1" s="46"/>
      <c r="UZ1" s="46"/>
      <c r="VA1" s="46"/>
      <c r="VB1" s="46"/>
      <c r="VC1" s="46"/>
      <c r="VD1" s="46"/>
      <c r="VE1" s="46"/>
      <c r="VF1" s="46"/>
      <c r="VG1" s="46"/>
      <c r="VH1" s="46"/>
      <c r="VI1" s="46"/>
      <c r="VJ1" s="46"/>
      <c r="VK1" s="46"/>
      <c r="VL1" s="46"/>
      <c r="VM1" s="46"/>
      <c r="VN1" s="46"/>
      <c r="VO1" s="46"/>
      <c r="VP1" s="46"/>
      <c r="VQ1" s="46"/>
      <c r="VR1" s="46"/>
      <c r="VS1" s="46"/>
      <c r="VT1" s="46"/>
      <c r="VU1" s="46"/>
      <c r="VV1" s="46"/>
      <c r="VW1" s="46"/>
      <c r="VX1" s="46"/>
      <c r="VY1" s="46"/>
      <c r="VZ1" s="46"/>
      <c r="WA1" s="46"/>
      <c r="WB1" s="46"/>
      <c r="WC1" s="46"/>
      <c r="WD1" s="46"/>
      <c r="WE1" s="46"/>
      <c r="WF1" s="46"/>
      <c r="WG1" s="46"/>
      <c r="WH1" s="46"/>
      <c r="WI1" s="46"/>
      <c r="WJ1" s="46"/>
      <c r="WK1" s="46"/>
      <c r="WL1" s="46"/>
      <c r="WM1" s="46"/>
      <c r="WN1" s="46"/>
      <c r="WO1" s="46"/>
      <c r="WP1" s="46"/>
      <c r="WQ1" s="46"/>
      <c r="WR1" s="46"/>
      <c r="WS1" s="46"/>
      <c r="WT1" s="46"/>
      <c r="WU1" s="46"/>
      <c r="WV1" s="46"/>
      <c r="WW1" s="46"/>
      <c r="WX1" s="46"/>
      <c r="WY1" s="46"/>
      <c r="WZ1" s="46"/>
      <c r="XA1" s="46"/>
      <c r="XB1" s="46"/>
      <c r="XC1" s="46"/>
      <c r="XD1" s="46"/>
      <c r="XE1" s="46"/>
      <c r="XF1" s="46"/>
      <c r="XG1" s="46"/>
      <c r="XH1" s="46"/>
      <c r="XI1" s="46"/>
      <c r="XJ1" s="46"/>
      <c r="XK1" s="46"/>
      <c r="XL1" s="46"/>
      <c r="XM1" s="46"/>
      <c r="XN1" s="46"/>
      <c r="XO1" s="46"/>
      <c r="XP1" s="46"/>
      <c r="XQ1" s="46"/>
      <c r="XR1" s="46"/>
      <c r="XS1" s="46"/>
      <c r="XT1" s="46"/>
      <c r="XU1" s="46"/>
      <c r="XV1" s="46"/>
      <c r="XW1" s="46"/>
      <c r="XX1" s="46"/>
      <c r="XY1" s="46"/>
      <c r="XZ1" s="46"/>
      <c r="YA1" s="46"/>
      <c r="YB1" s="46"/>
      <c r="YC1" s="46"/>
      <c r="YD1" s="46"/>
      <c r="YE1" s="46"/>
      <c r="YF1" s="46"/>
      <c r="YG1" s="46"/>
      <c r="YH1" s="46"/>
      <c r="YI1" s="46"/>
      <c r="YJ1" s="46"/>
      <c r="YK1" s="46"/>
      <c r="YL1" s="46"/>
      <c r="YM1" s="46"/>
      <c r="YN1" s="46"/>
      <c r="YO1" s="46"/>
      <c r="YP1" s="46"/>
      <c r="YQ1" s="46"/>
      <c r="YR1" s="46"/>
      <c r="YS1" s="46"/>
      <c r="YT1" s="46"/>
      <c r="YU1" s="46"/>
      <c r="YV1" s="46"/>
      <c r="YW1" s="46"/>
      <c r="YX1" s="46"/>
      <c r="YY1" s="46"/>
      <c r="YZ1" s="46"/>
      <c r="ZA1" s="46"/>
      <c r="ZB1" s="46"/>
      <c r="ZC1" s="46"/>
      <c r="ZD1" s="46"/>
      <c r="ZE1" s="46"/>
      <c r="ZF1" s="46"/>
      <c r="ZG1" s="46"/>
      <c r="ZH1" s="46"/>
      <c r="ZI1" s="46"/>
      <c r="ZJ1" s="46"/>
      <c r="ZK1" s="46"/>
      <c r="ZL1" s="46"/>
      <c r="ZM1" s="46"/>
      <c r="ZN1" s="46"/>
      <c r="ZO1" s="46"/>
      <c r="ZP1" s="46"/>
      <c r="ZQ1" s="46"/>
      <c r="ZR1" s="46"/>
      <c r="ZS1" s="46"/>
      <c r="ZT1" s="46"/>
      <c r="ZU1" s="46"/>
      <c r="ZV1" s="46"/>
      <c r="ZW1" s="46"/>
      <c r="ZX1" s="46"/>
      <c r="ZY1" s="46"/>
      <c r="ZZ1" s="46"/>
      <c r="AAA1" s="46"/>
      <c r="AAB1" s="46"/>
      <c r="AAC1" s="46"/>
      <c r="AAD1" s="46"/>
      <c r="AAE1" s="46"/>
      <c r="AAF1" s="46"/>
      <c r="AAG1" s="46"/>
      <c r="AAH1" s="46"/>
      <c r="AAI1" s="46"/>
      <c r="AAJ1" s="46"/>
      <c r="AAK1" s="46"/>
      <c r="AAL1" s="46"/>
      <c r="AAM1" s="46"/>
      <c r="AAN1" s="46"/>
      <c r="AAO1" s="46"/>
      <c r="AAP1" s="46"/>
      <c r="AAQ1" s="46"/>
      <c r="AAR1" s="46"/>
      <c r="AAS1" s="46"/>
      <c r="AAT1" s="46"/>
      <c r="AAU1" s="46"/>
      <c r="AAV1" s="46"/>
      <c r="AAW1" s="46"/>
      <c r="AAX1" s="46"/>
      <c r="AAY1" s="46"/>
      <c r="AAZ1" s="46"/>
      <c r="ABA1" s="46"/>
      <c r="ABB1" s="46"/>
      <c r="ABC1" s="46"/>
      <c r="ABD1" s="46"/>
      <c r="ABE1" s="46"/>
      <c r="ABF1" s="46"/>
      <c r="ABG1" s="46"/>
      <c r="ABH1" s="46"/>
      <c r="ABI1" s="46"/>
      <c r="ABJ1" s="46"/>
      <c r="ABK1" s="46"/>
      <c r="ABL1" s="46"/>
      <c r="ABM1" s="46"/>
      <c r="ABN1" s="46"/>
      <c r="ABO1" s="46"/>
      <c r="ABP1" s="46"/>
      <c r="ABQ1" s="46"/>
      <c r="ABR1" s="46"/>
      <c r="ABS1" s="46"/>
      <c r="ABT1" s="46"/>
      <c r="ABU1" s="46"/>
      <c r="ABV1" s="46"/>
      <c r="ABW1" s="46"/>
      <c r="ABX1" s="46"/>
      <c r="ABY1" s="46"/>
      <c r="ABZ1" s="46"/>
      <c r="ACA1" s="46"/>
      <c r="ACB1" s="46"/>
      <c r="ACC1" s="46"/>
      <c r="ACD1" s="46"/>
      <c r="ACE1" s="46"/>
      <c r="ACF1" s="46"/>
      <c r="ACG1" s="46"/>
      <c r="ACH1" s="46"/>
      <c r="ACI1" s="46"/>
      <c r="ACJ1" s="46"/>
      <c r="ACK1" s="46"/>
      <c r="ACL1" s="46"/>
      <c r="ACM1" s="46"/>
      <c r="ACN1" s="46"/>
      <c r="ACO1" s="46"/>
      <c r="ACP1" s="46"/>
      <c r="ACQ1" s="46"/>
      <c r="ACR1" s="46"/>
      <c r="ACS1" s="46"/>
      <c r="ACT1" s="46"/>
      <c r="ACU1" s="46"/>
      <c r="ACV1" s="46"/>
      <c r="ACW1" s="46"/>
      <c r="ACX1" s="46"/>
      <c r="ACY1" s="46"/>
      <c r="ACZ1" s="46"/>
      <c r="ADA1" s="46"/>
      <c r="ADB1" s="46"/>
      <c r="ADC1" s="46"/>
      <c r="ADD1" s="46"/>
      <c r="ADE1" s="46"/>
      <c r="ADF1" s="46"/>
      <c r="ADG1" s="46"/>
      <c r="ADH1" s="46"/>
      <c r="ADI1" s="46"/>
      <c r="ADJ1" s="46"/>
      <c r="ADK1" s="46"/>
      <c r="ADL1" s="46"/>
      <c r="ADM1" s="46"/>
      <c r="ADN1" s="46"/>
      <c r="ADO1" s="46"/>
      <c r="ADP1" s="46"/>
      <c r="ADQ1" s="46"/>
      <c r="ADR1" s="46"/>
      <c r="ADS1" s="46"/>
      <c r="ADT1" s="46"/>
      <c r="ADU1" s="46"/>
      <c r="ADV1" s="46"/>
      <c r="ADW1" s="46"/>
      <c r="ADX1" s="46"/>
      <c r="ADY1" s="46"/>
      <c r="ADZ1" s="46"/>
      <c r="AEA1" s="46"/>
      <c r="AEB1" s="46"/>
      <c r="AEC1" s="46"/>
      <c r="AED1" s="46"/>
      <c r="AEE1" s="46"/>
      <c r="AEF1" s="46"/>
      <c r="AEG1" s="46"/>
      <c r="AEH1" s="46"/>
      <c r="AEI1" s="46"/>
      <c r="AEJ1" s="46"/>
      <c r="AEK1" s="46"/>
      <c r="AEL1" s="46"/>
      <c r="AEM1" s="46"/>
      <c r="AEN1" s="46"/>
      <c r="AEO1" s="46"/>
      <c r="AEP1" s="46"/>
      <c r="AEQ1" s="46"/>
      <c r="AER1" s="46"/>
      <c r="AES1" s="46"/>
      <c r="AET1" s="46"/>
      <c r="AEU1" s="46"/>
      <c r="AEV1" s="46"/>
      <c r="AEW1" s="46"/>
      <c r="AEX1" s="46"/>
    </row>
    <row r="2" spans="1:830" s="24" customFormat="1" x14ac:dyDescent="0.2">
      <c r="Z2" s="46"/>
      <c r="AA2" s="46"/>
      <c r="AB2" s="46"/>
      <c r="AC2" s="46"/>
      <c r="AD2" s="46"/>
      <c r="AE2" s="46"/>
      <c r="AF2" s="46"/>
      <c r="AG2" s="46"/>
      <c r="AH2" s="46"/>
      <c r="AI2" s="46"/>
      <c r="AJ2" s="46"/>
      <c r="AK2" s="46"/>
      <c r="AL2" s="46"/>
      <c r="AM2" s="46"/>
      <c r="AN2" s="46"/>
      <c r="AO2" s="46"/>
      <c r="AP2" s="46"/>
      <c r="AQ2" s="46"/>
      <c r="AR2" s="46"/>
      <c r="AS2" s="46"/>
      <c r="AT2" s="46"/>
      <c r="AU2" s="46"/>
      <c r="AV2" s="46"/>
      <c r="AW2" s="46"/>
      <c r="AX2" s="46"/>
      <c r="AY2" s="46"/>
      <c r="AZ2" s="46"/>
      <c r="BA2" s="46"/>
      <c r="BB2" s="46"/>
      <c r="BC2" s="46"/>
      <c r="BD2" s="46"/>
      <c r="BE2" s="46"/>
      <c r="BF2" s="46"/>
      <c r="BG2" s="46"/>
      <c r="BH2" s="46"/>
      <c r="BI2" s="46"/>
      <c r="BJ2" s="46"/>
      <c r="BK2" s="46"/>
      <c r="BL2" s="46"/>
      <c r="BM2" s="46"/>
      <c r="BN2" s="46"/>
      <c r="BO2" s="46"/>
      <c r="BP2" s="46"/>
      <c r="BQ2" s="46"/>
      <c r="BR2" s="46"/>
      <c r="BS2" s="46"/>
      <c r="BT2" s="46"/>
      <c r="BU2" s="46"/>
      <c r="BV2" s="46"/>
      <c r="BW2" s="46"/>
      <c r="BX2" s="46"/>
      <c r="BY2" s="46"/>
      <c r="BZ2" s="46"/>
      <c r="CA2" s="46"/>
      <c r="CB2" s="46"/>
      <c r="CC2" s="46"/>
      <c r="CD2" s="46"/>
      <c r="CE2" s="46"/>
      <c r="CF2" s="46"/>
      <c r="CG2" s="46"/>
      <c r="CH2" s="46"/>
      <c r="CI2" s="46"/>
      <c r="CJ2" s="46"/>
      <c r="CK2" s="46"/>
      <c r="CL2" s="46"/>
      <c r="CM2" s="46"/>
      <c r="CN2" s="46"/>
      <c r="CO2" s="46"/>
      <c r="CP2" s="46"/>
      <c r="CQ2" s="46"/>
      <c r="CR2" s="46"/>
      <c r="CS2" s="46"/>
      <c r="CT2" s="46"/>
      <c r="CU2" s="46"/>
      <c r="CV2" s="46"/>
      <c r="CW2" s="46"/>
      <c r="CX2" s="46"/>
      <c r="CY2" s="46"/>
      <c r="CZ2" s="46"/>
      <c r="DA2" s="46"/>
      <c r="DB2" s="46"/>
      <c r="DC2" s="46"/>
      <c r="DD2" s="46"/>
      <c r="DE2" s="46"/>
      <c r="DF2" s="46"/>
      <c r="DG2" s="46"/>
      <c r="DH2" s="46"/>
      <c r="DI2" s="46"/>
      <c r="DJ2" s="46"/>
      <c r="DK2" s="46"/>
      <c r="DL2" s="46"/>
      <c r="DM2" s="46"/>
      <c r="DN2" s="46"/>
      <c r="DO2" s="46"/>
      <c r="DP2" s="46"/>
      <c r="DQ2" s="46"/>
      <c r="DR2" s="46"/>
      <c r="DS2" s="46"/>
      <c r="DT2" s="46"/>
      <c r="DU2" s="46"/>
      <c r="DV2" s="46"/>
      <c r="DW2" s="46"/>
      <c r="DX2" s="46"/>
      <c r="DY2" s="46"/>
      <c r="DZ2" s="46"/>
      <c r="EA2" s="46"/>
      <c r="EB2" s="46"/>
      <c r="EC2" s="46"/>
      <c r="ED2" s="46"/>
      <c r="EE2" s="46"/>
      <c r="EF2" s="46"/>
      <c r="EG2" s="46"/>
      <c r="EH2" s="46"/>
      <c r="EI2" s="46"/>
      <c r="EJ2" s="46"/>
      <c r="EK2" s="46"/>
      <c r="EL2" s="46"/>
      <c r="EM2" s="46"/>
      <c r="EN2" s="46"/>
      <c r="EO2" s="46"/>
      <c r="EP2" s="46"/>
      <c r="EQ2" s="46"/>
      <c r="ER2" s="46"/>
      <c r="ES2" s="46"/>
      <c r="ET2" s="46"/>
      <c r="EU2" s="46"/>
      <c r="EV2" s="46"/>
      <c r="EW2" s="46"/>
      <c r="EX2" s="46"/>
      <c r="EY2" s="46"/>
      <c r="EZ2" s="46"/>
      <c r="FA2" s="46"/>
      <c r="FB2" s="46"/>
      <c r="FC2" s="46"/>
      <c r="FD2" s="46"/>
      <c r="FE2" s="46"/>
      <c r="FF2" s="46"/>
      <c r="FG2" s="46"/>
      <c r="FH2" s="46"/>
      <c r="FI2" s="46"/>
      <c r="FJ2" s="46"/>
      <c r="FK2" s="46"/>
      <c r="FL2" s="46"/>
      <c r="FM2" s="46"/>
      <c r="FN2" s="46"/>
      <c r="FO2" s="46"/>
      <c r="FP2" s="46"/>
      <c r="FQ2" s="46"/>
      <c r="FR2" s="46"/>
      <c r="FS2" s="46"/>
      <c r="FT2" s="46"/>
      <c r="FU2" s="46"/>
      <c r="FV2" s="46"/>
      <c r="FW2" s="46"/>
      <c r="FX2" s="46"/>
      <c r="FY2" s="46"/>
      <c r="FZ2" s="46"/>
      <c r="GA2" s="46"/>
      <c r="GB2" s="46"/>
      <c r="GC2" s="46"/>
      <c r="GD2" s="46"/>
      <c r="GE2" s="46"/>
      <c r="GF2" s="46"/>
      <c r="GG2" s="46"/>
      <c r="GH2" s="46"/>
      <c r="GI2" s="46"/>
      <c r="GJ2" s="46"/>
      <c r="GK2" s="46"/>
      <c r="GL2" s="46"/>
      <c r="GM2" s="46"/>
      <c r="GN2" s="46"/>
      <c r="GO2" s="46"/>
      <c r="GP2" s="46"/>
      <c r="GQ2" s="46"/>
      <c r="GR2" s="46"/>
      <c r="GS2" s="46"/>
      <c r="GT2" s="46"/>
      <c r="GU2" s="46"/>
      <c r="GV2" s="46"/>
      <c r="GW2" s="46"/>
      <c r="GX2" s="46"/>
      <c r="GY2" s="46"/>
      <c r="GZ2" s="46"/>
      <c r="HA2" s="46"/>
      <c r="HB2" s="46"/>
      <c r="HC2" s="46"/>
      <c r="HD2" s="46"/>
      <c r="HE2" s="46"/>
      <c r="HF2" s="46"/>
      <c r="HG2" s="46"/>
      <c r="HH2" s="46"/>
      <c r="HI2" s="46"/>
      <c r="HJ2" s="46"/>
      <c r="HK2" s="46"/>
      <c r="HL2" s="46"/>
      <c r="HM2" s="46"/>
      <c r="HN2" s="46"/>
      <c r="HO2" s="46"/>
      <c r="HP2" s="46"/>
      <c r="HQ2" s="46"/>
      <c r="HR2" s="46"/>
      <c r="HS2" s="46"/>
      <c r="HT2" s="46"/>
      <c r="HU2" s="46"/>
      <c r="HV2" s="46"/>
      <c r="HW2" s="46"/>
      <c r="HX2" s="46"/>
      <c r="HY2" s="46"/>
      <c r="HZ2" s="46"/>
      <c r="IA2" s="46"/>
      <c r="IB2" s="46"/>
      <c r="IC2" s="46"/>
      <c r="ID2" s="46"/>
      <c r="IE2" s="46"/>
      <c r="IF2" s="46"/>
      <c r="IG2" s="46"/>
      <c r="IH2" s="46"/>
      <c r="II2" s="46"/>
      <c r="IJ2" s="46"/>
      <c r="IK2" s="46"/>
      <c r="IL2" s="46"/>
      <c r="IM2" s="46"/>
      <c r="IN2" s="46"/>
      <c r="IO2" s="46"/>
      <c r="IP2" s="46"/>
      <c r="IQ2" s="46"/>
      <c r="IR2" s="46"/>
      <c r="IS2" s="46"/>
      <c r="IT2" s="46"/>
      <c r="IU2" s="46"/>
      <c r="IV2" s="46"/>
      <c r="IW2" s="46"/>
      <c r="IX2" s="46"/>
      <c r="IY2" s="46"/>
      <c r="IZ2" s="46"/>
      <c r="JA2" s="46"/>
      <c r="JB2" s="46"/>
      <c r="JC2" s="46"/>
      <c r="JD2" s="46"/>
      <c r="JE2" s="46"/>
      <c r="JF2" s="46"/>
      <c r="JG2" s="46"/>
      <c r="JH2" s="46"/>
      <c r="JI2" s="46"/>
      <c r="JJ2" s="46"/>
      <c r="JK2" s="46"/>
      <c r="JL2" s="46"/>
      <c r="JM2" s="46"/>
      <c r="JN2" s="46"/>
      <c r="JO2" s="46"/>
      <c r="JP2" s="46"/>
      <c r="JQ2" s="46"/>
      <c r="JR2" s="46"/>
      <c r="JS2" s="46"/>
      <c r="JT2" s="46"/>
      <c r="JU2" s="46"/>
      <c r="JV2" s="46"/>
      <c r="JW2" s="46"/>
      <c r="JX2" s="46"/>
      <c r="JY2" s="46"/>
      <c r="JZ2" s="46"/>
      <c r="KA2" s="46"/>
      <c r="KB2" s="46"/>
      <c r="KC2" s="46"/>
      <c r="KD2" s="46"/>
      <c r="KE2" s="46"/>
      <c r="KF2" s="46"/>
      <c r="KG2" s="46"/>
      <c r="KH2" s="46"/>
      <c r="KI2" s="46"/>
      <c r="KJ2" s="46"/>
      <c r="KK2" s="46"/>
      <c r="KL2" s="46"/>
      <c r="KM2" s="46"/>
      <c r="KN2" s="46"/>
      <c r="KO2" s="46"/>
      <c r="KP2" s="46"/>
      <c r="KQ2" s="46"/>
      <c r="KR2" s="46"/>
      <c r="KS2" s="46"/>
      <c r="KT2" s="46"/>
      <c r="KU2" s="46"/>
      <c r="KV2" s="46"/>
      <c r="KW2" s="46"/>
      <c r="KX2" s="46"/>
      <c r="KY2" s="46"/>
      <c r="KZ2" s="46"/>
      <c r="LA2" s="46"/>
      <c r="LB2" s="46"/>
      <c r="LC2" s="46"/>
      <c r="LD2" s="46"/>
      <c r="LE2" s="46"/>
      <c r="LF2" s="46"/>
      <c r="LG2" s="46"/>
      <c r="LH2" s="46"/>
      <c r="LI2" s="46"/>
      <c r="LJ2" s="46"/>
      <c r="LK2" s="46"/>
      <c r="LL2" s="46"/>
      <c r="LM2" s="46"/>
      <c r="LN2" s="46"/>
      <c r="LO2" s="46"/>
      <c r="LP2" s="46"/>
      <c r="LQ2" s="46"/>
      <c r="LR2" s="46"/>
      <c r="LS2" s="46"/>
      <c r="LT2" s="46"/>
      <c r="LU2" s="46"/>
      <c r="LV2" s="46"/>
      <c r="LW2" s="46"/>
      <c r="LX2" s="46"/>
      <c r="LY2" s="46"/>
      <c r="LZ2" s="46"/>
      <c r="MA2" s="46"/>
      <c r="MB2" s="46"/>
      <c r="MC2" s="46"/>
      <c r="MD2" s="46"/>
      <c r="ME2" s="46"/>
      <c r="MF2" s="46"/>
      <c r="MG2" s="46"/>
      <c r="MH2" s="46"/>
      <c r="MI2" s="46"/>
      <c r="MJ2" s="46"/>
      <c r="MK2" s="46"/>
      <c r="ML2" s="46"/>
      <c r="MM2" s="46"/>
      <c r="MN2" s="46"/>
      <c r="MO2" s="46"/>
      <c r="MP2" s="46"/>
      <c r="MQ2" s="46"/>
      <c r="MR2" s="46"/>
      <c r="MS2" s="46"/>
      <c r="MT2" s="46"/>
      <c r="MU2" s="46"/>
      <c r="MV2" s="46"/>
      <c r="MW2" s="46"/>
      <c r="MX2" s="46"/>
      <c r="MY2" s="46"/>
      <c r="MZ2" s="46"/>
      <c r="NA2" s="46"/>
      <c r="NB2" s="46"/>
      <c r="NC2" s="46"/>
      <c r="ND2" s="46"/>
      <c r="NE2" s="46"/>
      <c r="NF2" s="46"/>
      <c r="NG2" s="46"/>
      <c r="NH2" s="46"/>
      <c r="NI2" s="46"/>
      <c r="NJ2" s="46"/>
      <c r="NK2" s="46"/>
      <c r="NL2" s="46"/>
      <c r="NM2" s="46"/>
      <c r="NN2" s="46"/>
      <c r="NO2" s="46"/>
      <c r="NP2" s="46"/>
      <c r="NQ2" s="46"/>
      <c r="NR2" s="46"/>
      <c r="NS2" s="46"/>
      <c r="NT2" s="46"/>
      <c r="NU2" s="46"/>
      <c r="NV2" s="46"/>
      <c r="NW2" s="46"/>
      <c r="NX2" s="46"/>
      <c r="NY2" s="46"/>
      <c r="NZ2" s="46"/>
      <c r="OA2" s="46"/>
      <c r="OB2" s="46"/>
      <c r="OC2" s="46"/>
      <c r="OD2" s="46"/>
      <c r="OE2" s="46"/>
      <c r="OF2" s="46"/>
      <c r="OG2" s="46"/>
      <c r="OH2" s="46"/>
      <c r="OI2" s="46"/>
      <c r="OJ2" s="46"/>
      <c r="OK2" s="46"/>
      <c r="OL2" s="46"/>
      <c r="OM2" s="46"/>
      <c r="ON2" s="46"/>
      <c r="OO2" s="46"/>
      <c r="OP2" s="46"/>
      <c r="OQ2" s="46"/>
      <c r="OR2" s="46"/>
      <c r="OS2" s="46"/>
      <c r="OT2" s="46"/>
      <c r="OU2" s="46"/>
      <c r="OV2" s="46"/>
      <c r="OW2" s="46"/>
      <c r="OX2" s="46"/>
      <c r="OY2" s="46"/>
      <c r="OZ2" s="46"/>
      <c r="PA2" s="46"/>
      <c r="PB2" s="46"/>
      <c r="PC2" s="46"/>
      <c r="PD2" s="46"/>
      <c r="PE2" s="46"/>
      <c r="PF2" s="46"/>
      <c r="PG2" s="46"/>
      <c r="PH2" s="46"/>
      <c r="PI2" s="46"/>
      <c r="PJ2" s="46"/>
      <c r="PK2" s="46"/>
      <c r="PL2" s="46"/>
      <c r="PM2" s="46"/>
      <c r="PN2" s="46"/>
      <c r="PO2" s="46"/>
      <c r="PP2" s="46"/>
      <c r="PQ2" s="46"/>
      <c r="PR2" s="46"/>
      <c r="PS2" s="46"/>
      <c r="PT2" s="46"/>
      <c r="PU2" s="46"/>
      <c r="PV2" s="46"/>
      <c r="PW2" s="46"/>
      <c r="PX2" s="46"/>
      <c r="PY2" s="46"/>
      <c r="PZ2" s="46"/>
      <c r="QA2" s="46"/>
      <c r="QB2" s="46"/>
      <c r="QC2" s="46"/>
      <c r="QD2" s="46"/>
      <c r="QE2" s="46"/>
      <c r="QF2" s="46"/>
      <c r="QG2" s="46"/>
      <c r="QH2" s="46"/>
      <c r="QI2" s="46"/>
      <c r="QJ2" s="46"/>
      <c r="QK2" s="46"/>
      <c r="QL2" s="46"/>
      <c r="QM2" s="46"/>
      <c r="QN2" s="46"/>
      <c r="QO2" s="46"/>
      <c r="QP2" s="46"/>
      <c r="QQ2" s="46"/>
      <c r="QR2" s="46"/>
      <c r="QS2" s="46"/>
      <c r="QT2" s="46"/>
      <c r="QU2" s="46"/>
      <c r="QV2" s="46"/>
      <c r="QW2" s="46"/>
      <c r="QX2" s="46"/>
      <c r="QY2" s="46"/>
      <c r="QZ2" s="46"/>
      <c r="RA2" s="46"/>
      <c r="RB2" s="46"/>
      <c r="RC2" s="46"/>
      <c r="RD2" s="46"/>
      <c r="RE2" s="46"/>
      <c r="RF2" s="46"/>
      <c r="RG2" s="46"/>
      <c r="RH2" s="46"/>
      <c r="RI2" s="46"/>
      <c r="RJ2" s="46"/>
      <c r="RK2" s="46"/>
      <c r="RL2" s="46"/>
      <c r="RM2" s="46"/>
      <c r="RN2" s="46"/>
      <c r="RO2" s="46"/>
      <c r="RP2" s="46"/>
      <c r="RQ2" s="46"/>
      <c r="RR2" s="46"/>
      <c r="RS2" s="46"/>
      <c r="RT2" s="46"/>
      <c r="RU2" s="46"/>
      <c r="RV2" s="46"/>
      <c r="RW2" s="46"/>
      <c r="RX2" s="46"/>
      <c r="RY2" s="46"/>
      <c r="RZ2" s="46"/>
      <c r="SA2" s="46"/>
      <c r="SB2" s="46"/>
      <c r="SC2" s="46"/>
      <c r="SD2" s="46"/>
      <c r="SE2" s="46"/>
      <c r="SF2" s="46"/>
      <c r="SG2" s="46"/>
      <c r="SH2" s="46"/>
      <c r="SI2" s="46"/>
      <c r="SJ2" s="46"/>
      <c r="SK2" s="46"/>
      <c r="SL2" s="46"/>
      <c r="SM2" s="46"/>
      <c r="SN2" s="46"/>
      <c r="SO2" s="46"/>
      <c r="SP2" s="46"/>
      <c r="SQ2" s="46"/>
      <c r="SR2" s="46"/>
      <c r="SS2" s="46"/>
      <c r="ST2" s="46"/>
      <c r="SU2" s="46"/>
      <c r="SV2" s="46"/>
      <c r="SW2" s="46"/>
      <c r="SX2" s="46"/>
      <c r="SY2" s="46"/>
      <c r="SZ2" s="46"/>
      <c r="TA2" s="46"/>
      <c r="TB2" s="46"/>
      <c r="TC2" s="46"/>
      <c r="TD2" s="46"/>
      <c r="TE2" s="46"/>
      <c r="TF2" s="46"/>
      <c r="TG2" s="46"/>
      <c r="TH2" s="46"/>
      <c r="TI2" s="46"/>
      <c r="TJ2" s="46"/>
      <c r="TK2" s="46"/>
      <c r="TL2" s="46"/>
      <c r="TM2" s="46"/>
      <c r="TN2" s="46"/>
      <c r="TO2" s="46"/>
      <c r="TP2" s="46"/>
      <c r="TQ2" s="46"/>
      <c r="TR2" s="46"/>
      <c r="TS2" s="46"/>
      <c r="TT2" s="46"/>
      <c r="TU2" s="46"/>
      <c r="TV2" s="46"/>
      <c r="TW2" s="46"/>
      <c r="TX2" s="46"/>
      <c r="TY2" s="46"/>
      <c r="TZ2" s="46"/>
      <c r="UA2" s="46"/>
      <c r="UB2" s="46"/>
      <c r="UC2" s="46"/>
      <c r="UD2" s="46"/>
      <c r="UE2" s="46"/>
      <c r="UF2" s="46"/>
      <c r="UG2" s="46"/>
      <c r="UH2" s="46"/>
      <c r="UI2" s="46"/>
      <c r="UJ2" s="46"/>
      <c r="UK2" s="46"/>
      <c r="UL2" s="46"/>
      <c r="UM2" s="46"/>
      <c r="UN2" s="46"/>
      <c r="UO2" s="46"/>
      <c r="UP2" s="46"/>
      <c r="UQ2" s="46"/>
      <c r="UR2" s="46"/>
      <c r="US2" s="46"/>
      <c r="UT2" s="46"/>
      <c r="UU2" s="46"/>
      <c r="UV2" s="46"/>
      <c r="UW2" s="46"/>
      <c r="UX2" s="46"/>
      <c r="UY2" s="46"/>
      <c r="UZ2" s="46"/>
      <c r="VA2" s="46"/>
      <c r="VB2" s="46"/>
      <c r="VC2" s="46"/>
      <c r="VD2" s="46"/>
      <c r="VE2" s="46"/>
      <c r="VF2" s="46"/>
      <c r="VG2" s="46"/>
      <c r="VH2" s="46"/>
      <c r="VI2" s="46"/>
      <c r="VJ2" s="46"/>
      <c r="VK2" s="46"/>
      <c r="VL2" s="46"/>
      <c r="VM2" s="46"/>
      <c r="VN2" s="46"/>
      <c r="VO2" s="46"/>
      <c r="VP2" s="46"/>
      <c r="VQ2" s="46"/>
      <c r="VR2" s="46"/>
      <c r="VS2" s="46"/>
      <c r="VT2" s="46"/>
      <c r="VU2" s="46"/>
      <c r="VV2" s="46"/>
      <c r="VW2" s="46"/>
      <c r="VX2" s="46"/>
      <c r="VY2" s="46"/>
      <c r="VZ2" s="46"/>
      <c r="WA2" s="46"/>
      <c r="WB2" s="46"/>
      <c r="WC2" s="46"/>
      <c r="WD2" s="46"/>
      <c r="WE2" s="46"/>
      <c r="WF2" s="46"/>
      <c r="WG2" s="46"/>
      <c r="WH2" s="46"/>
      <c r="WI2" s="46"/>
      <c r="WJ2" s="46"/>
      <c r="WK2" s="46"/>
      <c r="WL2" s="46"/>
      <c r="WM2" s="46"/>
      <c r="WN2" s="46"/>
      <c r="WO2" s="46"/>
      <c r="WP2" s="46"/>
      <c r="WQ2" s="46"/>
      <c r="WR2" s="46"/>
      <c r="WS2" s="46"/>
      <c r="WT2" s="46"/>
      <c r="WU2" s="46"/>
      <c r="WV2" s="46"/>
      <c r="WW2" s="46"/>
      <c r="WX2" s="46"/>
      <c r="WY2" s="46"/>
      <c r="WZ2" s="46"/>
      <c r="XA2" s="46"/>
      <c r="XB2" s="46"/>
      <c r="XC2" s="46"/>
      <c r="XD2" s="46"/>
      <c r="XE2" s="46"/>
      <c r="XF2" s="46"/>
      <c r="XG2" s="46"/>
      <c r="XH2" s="46"/>
      <c r="XI2" s="46"/>
      <c r="XJ2" s="46"/>
      <c r="XK2" s="46"/>
      <c r="XL2" s="46"/>
      <c r="XM2" s="46"/>
      <c r="XN2" s="46"/>
      <c r="XO2" s="46"/>
      <c r="XP2" s="46"/>
      <c r="XQ2" s="46"/>
      <c r="XR2" s="46"/>
      <c r="XS2" s="46"/>
      <c r="XT2" s="46"/>
      <c r="XU2" s="46"/>
      <c r="XV2" s="46"/>
      <c r="XW2" s="46"/>
      <c r="XX2" s="46"/>
      <c r="XY2" s="46"/>
      <c r="XZ2" s="46"/>
      <c r="YA2" s="46"/>
      <c r="YB2" s="46"/>
      <c r="YC2" s="46"/>
      <c r="YD2" s="46"/>
      <c r="YE2" s="46"/>
      <c r="YF2" s="46"/>
      <c r="YG2" s="46"/>
      <c r="YH2" s="46"/>
      <c r="YI2" s="46"/>
      <c r="YJ2" s="46"/>
      <c r="YK2" s="46"/>
      <c r="YL2" s="46"/>
      <c r="YM2" s="46"/>
      <c r="YN2" s="46"/>
      <c r="YO2" s="46"/>
      <c r="YP2" s="46"/>
      <c r="YQ2" s="46"/>
      <c r="YR2" s="46"/>
      <c r="YS2" s="46"/>
      <c r="YT2" s="46"/>
      <c r="YU2" s="46"/>
      <c r="YV2" s="46"/>
      <c r="YW2" s="46"/>
      <c r="YX2" s="46"/>
      <c r="YY2" s="46"/>
      <c r="YZ2" s="46"/>
      <c r="ZA2" s="46"/>
      <c r="ZB2" s="46"/>
      <c r="ZC2" s="46"/>
      <c r="ZD2" s="46"/>
      <c r="ZE2" s="46"/>
      <c r="ZF2" s="46"/>
      <c r="ZG2" s="46"/>
      <c r="ZH2" s="46"/>
      <c r="ZI2" s="46"/>
      <c r="ZJ2" s="46"/>
      <c r="ZK2" s="46"/>
      <c r="ZL2" s="46"/>
      <c r="ZM2" s="46"/>
      <c r="ZN2" s="46"/>
      <c r="ZO2" s="46"/>
      <c r="ZP2" s="46"/>
      <c r="ZQ2" s="46"/>
      <c r="ZR2" s="46"/>
      <c r="ZS2" s="46"/>
      <c r="ZT2" s="46"/>
      <c r="ZU2" s="46"/>
      <c r="ZV2" s="46"/>
      <c r="ZW2" s="46"/>
      <c r="ZX2" s="46"/>
      <c r="ZY2" s="46"/>
      <c r="ZZ2" s="46"/>
      <c r="AAA2" s="46"/>
      <c r="AAB2" s="46"/>
      <c r="AAC2" s="46"/>
      <c r="AAD2" s="46"/>
      <c r="AAE2" s="46"/>
      <c r="AAF2" s="46"/>
      <c r="AAG2" s="46"/>
      <c r="AAH2" s="46"/>
      <c r="AAI2" s="46"/>
      <c r="AAJ2" s="46"/>
      <c r="AAK2" s="46"/>
      <c r="AAL2" s="46"/>
      <c r="AAM2" s="46"/>
      <c r="AAN2" s="46"/>
      <c r="AAO2" s="46"/>
      <c r="AAP2" s="46"/>
      <c r="AAQ2" s="46"/>
      <c r="AAR2" s="46"/>
      <c r="AAS2" s="46"/>
      <c r="AAT2" s="46"/>
      <c r="AAU2" s="46"/>
      <c r="AAV2" s="46"/>
      <c r="AAW2" s="46"/>
      <c r="AAX2" s="46"/>
      <c r="AAY2" s="46"/>
      <c r="AAZ2" s="46"/>
      <c r="ABA2" s="46"/>
      <c r="ABB2" s="46"/>
      <c r="ABC2" s="46"/>
      <c r="ABD2" s="46"/>
      <c r="ABE2" s="46"/>
      <c r="ABF2" s="46"/>
      <c r="ABG2" s="46"/>
      <c r="ABH2" s="46"/>
      <c r="ABI2" s="46"/>
      <c r="ABJ2" s="46"/>
      <c r="ABK2" s="46"/>
      <c r="ABL2" s="46"/>
      <c r="ABM2" s="46"/>
      <c r="ABN2" s="46"/>
      <c r="ABO2" s="46"/>
      <c r="ABP2" s="46"/>
      <c r="ABQ2" s="46"/>
      <c r="ABR2" s="46"/>
      <c r="ABS2" s="46"/>
      <c r="ABT2" s="46"/>
      <c r="ABU2" s="46"/>
      <c r="ABV2" s="46"/>
      <c r="ABW2" s="46"/>
      <c r="ABX2" s="46"/>
      <c r="ABY2" s="46"/>
      <c r="ABZ2" s="46"/>
      <c r="ACA2" s="46"/>
      <c r="ACB2" s="46"/>
      <c r="ACC2" s="46"/>
      <c r="ACD2" s="46"/>
      <c r="ACE2" s="46"/>
      <c r="ACF2" s="46"/>
      <c r="ACG2" s="46"/>
      <c r="ACH2" s="46"/>
      <c r="ACI2" s="46"/>
      <c r="ACJ2" s="46"/>
      <c r="ACK2" s="46"/>
      <c r="ACL2" s="46"/>
      <c r="ACM2" s="46"/>
      <c r="ACN2" s="46"/>
      <c r="ACO2" s="46"/>
      <c r="ACP2" s="46"/>
      <c r="ACQ2" s="46"/>
      <c r="ACR2" s="46"/>
      <c r="ACS2" s="46"/>
      <c r="ACT2" s="46"/>
      <c r="ACU2" s="46"/>
      <c r="ACV2" s="46"/>
      <c r="ACW2" s="46"/>
      <c r="ACX2" s="46"/>
      <c r="ACY2" s="46"/>
      <c r="ACZ2" s="46"/>
      <c r="ADA2" s="46"/>
      <c r="ADB2" s="46"/>
      <c r="ADC2" s="46"/>
      <c r="ADD2" s="46"/>
      <c r="ADE2" s="46"/>
      <c r="ADF2" s="46"/>
      <c r="ADG2" s="46"/>
      <c r="ADH2" s="46"/>
      <c r="ADI2" s="46"/>
      <c r="ADJ2" s="46"/>
      <c r="ADK2" s="46"/>
      <c r="ADL2" s="46"/>
      <c r="ADM2" s="46"/>
      <c r="ADN2" s="46"/>
      <c r="ADO2" s="46"/>
      <c r="ADP2" s="46"/>
      <c r="ADQ2" s="46"/>
      <c r="ADR2" s="46"/>
      <c r="ADS2" s="46"/>
      <c r="ADT2" s="46"/>
      <c r="ADU2" s="46"/>
      <c r="ADV2" s="46"/>
      <c r="ADW2" s="46"/>
      <c r="ADX2" s="46"/>
      <c r="ADY2" s="46"/>
      <c r="ADZ2" s="46"/>
      <c r="AEA2" s="46"/>
      <c r="AEB2" s="46"/>
      <c r="AEC2" s="46"/>
      <c r="AED2" s="46"/>
      <c r="AEE2" s="46"/>
      <c r="AEF2" s="46"/>
      <c r="AEG2" s="46"/>
      <c r="AEH2" s="46"/>
      <c r="AEI2" s="46"/>
      <c r="AEJ2" s="46"/>
      <c r="AEK2" s="46"/>
      <c r="AEL2" s="46"/>
      <c r="AEM2" s="46"/>
      <c r="AEN2" s="46"/>
      <c r="AEO2" s="46"/>
      <c r="AEP2" s="46"/>
      <c r="AEQ2" s="46"/>
      <c r="AER2" s="46"/>
      <c r="AES2" s="46"/>
      <c r="AET2" s="46"/>
      <c r="AEU2" s="46"/>
      <c r="AEV2" s="46"/>
      <c r="AEW2" s="46"/>
      <c r="AEX2" s="46"/>
    </row>
    <row r="3" spans="1:830" s="24" customFormat="1" x14ac:dyDescent="0.2">
      <c r="Z3" s="46"/>
      <c r="AA3" s="46"/>
      <c r="AB3" s="46"/>
      <c r="AC3" s="46"/>
      <c r="AD3" s="46"/>
      <c r="AE3" s="46"/>
      <c r="AF3" s="46"/>
      <c r="AG3" s="46"/>
      <c r="AH3" s="46"/>
      <c r="AI3" s="46"/>
      <c r="AJ3" s="46"/>
      <c r="AK3" s="46"/>
      <c r="AL3" s="46"/>
      <c r="AM3" s="46"/>
      <c r="AN3" s="46"/>
      <c r="AO3" s="46"/>
      <c r="AP3" s="46"/>
      <c r="AQ3" s="46"/>
      <c r="AR3" s="46"/>
      <c r="AS3" s="46"/>
      <c r="AT3" s="46"/>
      <c r="AU3" s="46"/>
      <c r="AV3" s="46"/>
      <c r="AW3" s="46"/>
      <c r="AX3" s="46"/>
      <c r="AY3" s="46"/>
      <c r="AZ3" s="46"/>
      <c r="BA3" s="46"/>
      <c r="BB3" s="46"/>
      <c r="BC3" s="46"/>
      <c r="BD3" s="46"/>
      <c r="BE3" s="46"/>
      <c r="BF3" s="46"/>
      <c r="BG3" s="46"/>
      <c r="BH3" s="46"/>
      <c r="BI3" s="46"/>
      <c r="BJ3" s="46"/>
      <c r="BK3" s="46"/>
      <c r="BL3" s="46"/>
      <c r="BM3" s="46"/>
      <c r="BN3" s="46"/>
      <c r="BO3" s="46"/>
      <c r="BP3" s="46"/>
      <c r="BQ3" s="46"/>
      <c r="BR3" s="46"/>
      <c r="BS3" s="46"/>
      <c r="BT3" s="46"/>
      <c r="BU3" s="46"/>
      <c r="BV3" s="46"/>
      <c r="BW3" s="46"/>
      <c r="BX3" s="46"/>
      <c r="BY3" s="46"/>
      <c r="BZ3" s="46"/>
      <c r="CA3" s="46"/>
      <c r="CB3" s="46"/>
      <c r="CC3" s="46"/>
      <c r="CD3" s="46"/>
      <c r="CE3" s="46"/>
      <c r="CF3" s="46"/>
      <c r="CG3" s="46"/>
      <c r="CH3" s="46"/>
      <c r="CI3" s="46"/>
      <c r="CJ3" s="46"/>
      <c r="CK3" s="46"/>
      <c r="CL3" s="46"/>
      <c r="CM3" s="46"/>
      <c r="CN3" s="46"/>
      <c r="CO3" s="46"/>
      <c r="CP3" s="46"/>
      <c r="CQ3" s="46"/>
      <c r="CR3" s="46"/>
      <c r="CS3" s="46"/>
      <c r="CT3" s="46"/>
      <c r="CU3" s="46"/>
      <c r="CV3" s="46"/>
      <c r="CW3" s="46"/>
      <c r="CX3" s="46"/>
      <c r="CY3" s="46"/>
      <c r="CZ3" s="46"/>
      <c r="DA3" s="46"/>
      <c r="DB3" s="46"/>
      <c r="DC3" s="46"/>
      <c r="DD3" s="46"/>
      <c r="DE3" s="46"/>
      <c r="DF3" s="46"/>
      <c r="DG3" s="46"/>
      <c r="DH3" s="46"/>
      <c r="DI3" s="46"/>
      <c r="DJ3" s="46"/>
      <c r="DK3" s="46"/>
      <c r="DL3" s="46"/>
      <c r="DM3" s="46"/>
      <c r="DN3" s="46"/>
      <c r="DO3" s="46"/>
      <c r="DP3" s="46"/>
      <c r="DQ3" s="46"/>
      <c r="DR3" s="46"/>
      <c r="DS3" s="46"/>
      <c r="DT3" s="46"/>
      <c r="DU3" s="46"/>
      <c r="DV3" s="46"/>
      <c r="DW3" s="46"/>
      <c r="DX3" s="46"/>
      <c r="DY3" s="46"/>
      <c r="DZ3" s="46"/>
      <c r="EA3" s="46"/>
      <c r="EB3" s="46"/>
      <c r="EC3" s="46"/>
      <c r="ED3" s="46"/>
      <c r="EE3" s="46"/>
      <c r="EF3" s="46"/>
      <c r="EG3" s="46"/>
      <c r="EH3" s="46"/>
      <c r="EI3" s="46"/>
      <c r="EJ3" s="46"/>
      <c r="EK3" s="46"/>
      <c r="EL3" s="46"/>
      <c r="EM3" s="46"/>
      <c r="EN3" s="46"/>
      <c r="EO3" s="46"/>
      <c r="EP3" s="46"/>
      <c r="EQ3" s="46"/>
      <c r="ER3" s="46"/>
      <c r="ES3" s="46"/>
      <c r="ET3" s="46"/>
      <c r="EU3" s="46"/>
      <c r="EV3" s="46"/>
      <c r="EW3" s="46"/>
      <c r="EX3" s="46"/>
      <c r="EY3" s="46"/>
      <c r="EZ3" s="46"/>
      <c r="FA3" s="46"/>
      <c r="FB3" s="46"/>
      <c r="FC3" s="46"/>
      <c r="FD3" s="46"/>
      <c r="FE3" s="46"/>
      <c r="FF3" s="46"/>
      <c r="FG3" s="46"/>
      <c r="FH3" s="46"/>
      <c r="FI3" s="46"/>
      <c r="FJ3" s="46"/>
      <c r="FK3" s="46"/>
      <c r="FL3" s="46"/>
      <c r="FM3" s="46"/>
      <c r="FN3" s="46"/>
      <c r="FO3" s="46"/>
      <c r="FP3" s="46"/>
      <c r="FQ3" s="46"/>
      <c r="FR3" s="46"/>
      <c r="FS3" s="46"/>
      <c r="FT3" s="46"/>
      <c r="FU3" s="46"/>
      <c r="FV3" s="46"/>
      <c r="FW3" s="46"/>
      <c r="FX3" s="46"/>
      <c r="FY3" s="46"/>
      <c r="FZ3" s="46"/>
      <c r="GA3" s="46"/>
      <c r="GB3" s="46"/>
      <c r="GC3" s="46"/>
      <c r="GD3" s="46"/>
      <c r="GE3" s="46"/>
      <c r="GF3" s="46"/>
      <c r="GG3" s="46"/>
      <c r="GH3" s="46"/>
      <c r="GI3" s="46"/>
      <c r="GJ3" s="46"/>
      <c r="GK3" s="46"/>
      <c r="GL3" s="46"/>
      <c r="GM3" s="46"/>
      <c r="GN3" s="46"/>
      <c r="GO3" s="46"/>
      <c r="GP3" s="46"/>
      <c r="GQ3" s="46"/>
      <c r="GR3" s="46"/>
      <c r="GS3" s="46"/>
      <c r="GT3" s="46"/>
      <c r="GU3" s="46"/>
      <c r="GV3" s="46"/>
      <c r="GW3" s="46"/>
      <c r="GX3" s="46"/>
      <c r="GY3" s="46"/>
      <c r="GZ3" s="46"/>
      <c r="HA3" s="46"/>
      <c r="HB3" s="46"/>
      <c r="HC3" s="46"/>
      <c r="HD3" s="46"/>
      <c r="HE3" s="46"/>
      <c r="HF3" s="46"/>
      <c r="HG3" s="46"/>
      <c r="HH3" s="46"/>
      <c r="HI3" s="46"/>
      <c r="HJ3" s="46"/>
      <c r="HK3" s="46"/>
      <c r="HL3" s="46"/>
      <c r="HM3" s="46"/>
      <c r="HN3" s="46"/>
      <c r="HO3" s="46"/>
      <c r="HP3" s="46"/>
      <c r="HQ3" s="46"/>
      <c r="HR3" s="46"/>
      <c r="HS3" s="46"/>
      <c r="HT3" s="46"/>
      <c r="HU3" s="46"/>
      <c r="HV3" s="46"/>
      <c r="HW3" s="46"/>
      <c r="HX3" s="46"/>
      <c r="HY3" s="46"/>
      <c r="HZ3" s="46"/>
      <c r="IA3" s="46"/>
      <c r="IB3" s="46"/>
      <c r="IC3" s="46"/>
      <c r="ID3" s="46"/>
      <c r="IE3" s="46"/>
      <c r="IF3" s="46"/>
      <c r="IG3" s="46"/>
      <c r="IH3" s="46"/>
      <c r="II3" s="46"/>
      <c r="IJ3" s="46"/>
      <c r="IK3" s="46"/>
      <c r="IL3" s="46"/>
      <c r="IM3" s="46"/>
      <c r="IN3" s="46"/>
      <c r="IO3" s="46"/>
      <c r="IP3" s="46"/>
      <c r="IQ3" s="46"/>
      <c r="IR3" s="46"/>
      <c r="IS3" s="46"/>
      <c r="IT3" s="46"/>
      <c r="IU3" s="46"/>
      <c r="IV3" s="46"/>
      <c r="IW3" s="46"/>
      <c r="IX3" s="46"/>
      <c r="IY3" s="46"/>
      <c r="IZ3" s="46"/>
      <c r="JA3" s="46"/>
      <c r="JB3" s="46"/>
      <c r="JC3" s="46"/>
      <c r="JD3" s="46"/>
      <c r="JE3" s="46"/>
      <c r="JF3" s="46"/>
      <c r="JG3" s="46"/>
      <c r="JH3" s="46"/>
      <c r="JI3" s="46"/>
      <c r="JJ3" s="46"/>
      <c r="JK3" s="46"/>
      <c r="JL3" s="46"/>
      <c r="JM3" s="46"/>
      <c r="JN3" s="46"/>
      <c r="JO3" s="46"/>
      <c r="JP3" s="46"/>
      <c r="JQ3" s="46"/>
      <c r="JR3" s="46"/>
      <c r="JS3" s="46"/>
      <c r="JT3" s="46"/>
      <c r="JU3" s="46"/>
      <c r="JV3" s="46"/>
      <c r="JW3" s="46"/>
      <c r="JX3" s="46"/>
      <c r="JY3" s="46"/>
      <c r="JZ3" s="46"/>
      <c r="KA3" s="46"/>
      <c r="KB3" s="46"/>
      <c r="KC3" s="46"/>
      <c r="KD3" s="46"/>
      <c r="KE3" s="46"/>
      <c r="KF3" s="46"/>
      <c r="KG3" s="46"/>
      <c r="KH3" s="46"/>
      <c r="KI3" s="46"/>
      <c r="KJ3" s="46"/>
      <c r="KK3" s="46"/>
      <c r="KL3" s="46"/>
      <c r="KM3" s="46"/>
      <c r="KN3" s="46"/>
      <c r="KO3" s="46"/>
      <c r="KP3" s="46"/>
      <c r="KQ3" s="46"/>
      <c r="KR3" s="46"/>
      <c r="KS3" s="46"/>
      <c r="KT3" s="46"/>
      <c r="KU3" s="46"/>
      <c r="KV3" s="46"/>
      <c r="KW3" s="46"/>
      <c r="KX3" s="46"/>
      <c r="KY3" s="46"/>
      <c r="KZ3" s="46"/>
      <c r="LA3" s="46"/>
      <c r="LB3" s="46"/>
      <c r="LC3" s="46"/>
      <c r="LD3" s="46"/>
      <c r="LE3" s="46"/>
      <c r="LF3" s="46"/>
      <c r="LG3" s="46"/>
      <c r="LH3" s="46"/>
      <c r="LI3" s="46"/>
      <c r="LJ3" s="46"/>
      <c r="LK3" s="46"/>
      <c r="LL3" s="46"/>
      <c r="LM3" s="46"/>
      <c r="LN3" s="46"/>
      <c r="LO3" s="46"/>
      <c r="LP3" s="46"/>
      <c r="LQ3" s="46"/>
      <c r="LR3" s="46"/>
      <c r="LS3" s="46"/>
      <c r="LT3" s="46"/>
      <c r="LU3" s="46"/>
      <c r="LV3" s="46"/>
      <c r="LW3" s="46"/>
      <c r="LX3" s="46"/>
      <c r="LY3" s="46"/>
      <c r="LZ3" s="46"/>
      <c r="MA3" s="46"/>
      <c r="MB3" s="46"/>
      <c r="MC3" s="46"/>
      <c r="MD3" s="46"/>
      <c r="ME3" s="46"/>
      <c r="MF3" s="46"/>
      <c r="MG3" s="46"/>
      <c r="MH3" s="46"/>
      <c r="MI3" s="46"/>
      <c r="MJ3" s="46"/>
      <c r="MK3" s="46"/>
      <c r="ML3" s="46"/>
      <c r="MM3" s="46"/>
      <c r="MN3" s="46"/>
      <c r="MO3" s="46"/>
      <c r="MP3" s="46"/>
      <c r="MQ3" s="46"/>
      <c r="MR3" s="46"/>
      <c r="MS3" s="46"/>
      <c r="MT3" s="46"/>
      <c r="MU3" s="46"/>
      <c r="MV3" s="46"/>
      <c r="MW3" s="46"/>
      <c r="MX3" s="46"/>
      <c r="MY3" s="46"/>
      <c r="MZ3" s="46"/>
      <c r="NA3" s="46"/>
      <c r="NB3" s="46"/>
      <c r="NC3" s="46"/>
      <c r="ND3" s="46"/>
      <c r="NE3" s="46"/>
      <c r="NF3" s="46"/>
      <c r="NG3" s="46"/>
      <c r="NH3" s="46"/>
      <c r="NI3" s="46"/>
      <c r="NJ3" s="46"/>
      <c r="NK3" s="46"/>
      <c r="NL3" s="46"/>
      <c r="NM3" s="46"/>
      <c r="NN3" s="46"/>
      <c r="NO3" s="46"/>
      <c r="NP3" s="46"/>
      <c r="NQ3" s="46"/>
      <c r="NR3" s="46"/>
      <c r="NS3" s="46"/>
      <c r="NT3" s="46"/>
      <c r="NU3" s="46"/>
      <c r="NV3" s="46"/>
      <c r="NW3" s="46"/>
      <c r="NX3" s="46"/>
      <c r="NY3" s="46"/>
      <c r="NZ3" s="46"/>
      <c r="OA3" s="46"/>
      <c r="OB3" s="46"/>
      <c r="OC3" s="46"/>
      <c r="OD3" s="46"/>
      <c r="OE3" s="46"/>
      <c r="OF3" s="46"/>
      <c r="OG3" s="46"/>
      <c r="OH3" s="46"/>
      <c r="OI3" s="46"/>
      <c r="OJ3" s="46"/>
      <c r="OK3" s="46"/>
      <c r="OL3" s="46"/>
      <c r="OM3" s="46"/>
      <c r="ON3" s="46"/>
      <c r="OO3" s="46"/>
      <c r="OP3" s="46"/>
      <c r="OQ3" s="46"/>
      <c r="OR3" s="46"/>
      <c r="OS3" s="46"/>
      <c r="OT3" s="46"/>
      <c r="OU3" s="46"/>
      <c r="OV3" s="46"/>
      <c r="OW3" s="46"/>
      <c r="OX3" s="46"/>
      <c r="OY3" s="46"/>
      <c r="OZ3" s="46"/>
      <c r="PA3" s="46"/>
      <c r="PB3" s="46"/>
      <c r="PC3" s="46"/>
      <c r="PD3" s="46"/>
      <c r="PE3" s="46"/>
      <c r="PF3" s="46"/>
      <c r="PG3" s="46"/>
      <c r="PH3" s="46"/>
      <c r="PI3" s="46"/>
      <c r="PJ3" s="46"/>
      <c r="PK3" s="46"/>
      <c r="PL3" s="46"/>
      <c r="PM3" s="46"/>
      <c r="PN3" s="46"/>
      <c r="PO3" s="46"/>
      <c r="PP3" s="46"/>
      <c r="PQ3" s="46"/>
      <c r="PR3" s="46"/>
      <c r="PS3" s="46"/>
      <c r="PT3" s="46"/>
      <c r="PU3" s="46"/>
      <c r="PV3" s="46"/>
      <c r="PW3" s="46"/>
      <c r="PX3" s="46"/>
      <c r="PY3" s="46"/>
      <c r="PZ3" s="46"/>
      <c r="QA3" s="46"/>
      <c r="QB3" s="46"/>
      <c r="QC3" s="46"/>
      <c r="QD3" s="46"/>
      <c r="QE3" s="46"/>
      <c r="QF3" s="46"/>
      <c r="QG3" s="46"/>
      <c r="QH3" s="46"/>
      <c r="QI3" s="46"/>
      <c r="QJ3" s="46"/>
      <c r="QK3" s="46"/>
      <c r="QL3" s="46"/>
      <c r="QM3" s="46"/>
      <c r="QN3" s="46"/>
      <c r="QO3" s="46"/>
      <c r="QP3" s="46"/>
      <c r="QQ3" s="46"/>
      <c r="QR3" s="46"/>
      <c r="QS3" s="46"/>
      <c r="QT3" s="46"/>
      <c r="QU3" s="46"/>
      <c r="QV3" s="46"/>
      <c r="QW3" s="46"/>
      <c r="QX3" s="46"/>
      <c r="QY3" s="46"/>
      <c r="QZ3" s="46"/>
      <c r="RA3" s="46"/>
      <c r="RB3" s="46"/>
      <c r="RC3" s="46"/>
      <c r="RD3" s="46"/>
      <c r="RE3" s="46"/>
      <c r="RF3" s="46"/>
      <c r="RG3" s="46"/>
      <c r="RH3" s="46"/>
      <c r="RI3" s="46"/>
      <c r="RJ3" s="46"/>
      <c r="RK3" s="46"/>
      <c r="RL3" s="46"/>
      <c r="RM3" s="46"/>
      <c r="RN3" s="46"/>
      <c r="RO3" s="46"/>
      <c r="RP3" s="46"/>
      <c r="RQ3" s="46"/>
      <c r="RR3" s="46"/>
      <c r="RS3" s="46"/>
      <c r="RT3" s="46"/>
      <c r="RU3" s="46"/>
      <c r="RV3" s="46"/>
      <c r="RW3" s="46"/>
      <c r="RX3" s="46"/>
      <c r="RY3" s="46"/>
      <c r="RZ3" s="46"/>
      <c r="SA3" s="46"/>
      <c r="SB3" s="46"/>
      <c r="SC3" s="46"/>
      <c r="SD3" s="46"/>
      <c r="SE3" s="46"/>
      <c r="SF3" s="46"/>
      <c r="SG3" s="46"/>
      <c r="SH3" s="46"/>
      <c r="SI3" s="46"/>
      <c r="SJ3" s="46"/>
      <c r="SK3" s="46"/>
      <c r="SL3" s="46"/>
      <c r="SM3" s="46"/>
      <c r="SN3" s="46"/>
      <c r="SO3" s="46"/>
      <c r="SP3" s="46"/>
      <c r="SQ3" s="46"/>
      <c r="SR3" s="46"/>
      <c r="SS3" s="46"/>
      <c r="ST3" s="46"/>
      <c r="SU3" s="46"/>
      <c r="SV3" s="46"/>
      <c r="SW3" s="46"/>
      <c r="SX3" s="46"/>
      <c r="SY3" s="46"/>
      <c r="SZ3" s="46"/>
      <c r="TA3" s="46"/>
      <c r="TB3" s="46"/>
      <c r="TC3" s="46"/>
      <c r="TD3" s="46"/>
      <c r="TE3" s="46"/>
      <c r="TF3" s="46"/>
      <c r="TG3" s="46"/>
      <c r="TH3" s="46"/>
      <c r="TI3" s="46"/>
      <c r="TJ3" s="46"/>
      <c r="TK3" s="46"/>
      <c r="TL3" s="46"/>
      <c r="TM3" s="46"/>
      <c r="TN3" s="46"/>
      <c r="TO3" s="46"/>
      <c r="TP3" s="46"/>
      <c r="TQ3" s="46"/>
      <c r="TR3" s="46"/>
      <c r="TS3" s="46"/>
      <c r="TT3" s="46"/>
      <c r="TU3" s="46"/>
      <c r="TV3" s="46"/>
      <c r="TW3" s="46"/>
      <c r="TX3" s="46"/>
      <c r="TY3" s="46"/>
      <c r="TZ3" s="46"/>
      <c r="UA3" s="46"/>
      <c r="UB3" s="46"/>
      <c r="UC3" s="46"/>
      <c r="UD3" s="46"/>
      <c r="UE3" s="46"/>
      <c r="UF3" s="46"/>
      <c r="UG3" s="46"/>
      <c r="UH3" s="46"/>
      <c r="UI3" s="46"/>
      <c r="UJ3" s="46"/>
      <c r="UK3" s="46"/>
      <c r="UL3" s="46"/>
      <c r="UM3" s="46"/>
      <c r="UN3" s="46"/>
      <c r="UO3" s="46"/>
      <c r="UP3" s="46"/>
      <c r="UQ3" s="46"/>
      <c r="UR3" s="46"/>
      <c r="US3" s="46"/>
      <c r="UT3" s="46"/>
      <c r="UU3" s="46"/>
      <c r="UV3" s="46"/>
      <c r="UW3" s="46"/>
      <c r="UX3" s="46"/>
      <c r="UY3" s="46"/>
      <c r="UZ3" s="46"/>
      <c r="VA3" s="46"/>
      <c r="VB3" s="46"/>
      <c r="VC3" s="46"/>
      <c r="VD3" s="46"/>
      <c r="VE3" s="46"/>
      <c r="VF3" s="46"/>
      <c r="VG3" s="46"/>
      <c r="VH3" s="46"/>
      <c r="VI3" s="46"/>
      <c r="VJ3" s="46"/>
      <c r="VK3" s="46"/>
      <c r="VL3" s="46"/>
      <c r="VM3" s="46"/>
      <c r="VN3" s="46"/>
      <c r="VO3" s="46"/>
      <c r="VP3" s="46"/>
      <c r="VQ3" s="46"/>
      <c r="VR3" s="46"/>
      <c r="VS3" s="46"/>
      <c r="VT3" s="46"/>
      <c r="VU3" s="46"/>
      <c r="VV3" s="46"/>
      <c r="VW3" s="46"/>
      <c r="VX3" s="46"/>
      <c r="VY3" s="46"/>
      <c r="VZ3" s="46"/>
      <c r="WA3" s="46"/>
      <c r="WB3" s="46"/>
      <c r="WC3" s="46"/>
      <c r="WD3" s="46"/>
      <c r="WE3" s="46"/>
      <c r="WF3" s="46"/>
      <c r="WG3" s="46"/>
      <c r="WH3" s="46"/>
      <c r="WI3" s="46"/>
      <c r="WJ3" s="46"/>
      <c r="WK3" s="46"/>
      <c r="WL3" s="46"/>
      <c r="WM3" s="46"/>
      <c r="WN3" s="46"/>
      <c r="WO3" s="46"/>
      <c r="WP3" s="46"/>
      <c r="WQ3" s="46"/>
      <c r="WR3" s="46"/>
      <c r="WS3" s="46"/>
      <c r="WT3" s="46"/>
      <c r="WU3" s="46"/>
      <c r="WV3" s="46"/>
      <c r="WW3" s="46"/>
      <c r="WX3" s="46"/>
      <c r="WY3" s="46"/>
      <c r="WZ3" s="46"/>
      <c r="XA3" s="46"/>
      <c r="XB3" s="46"/>
      <c r="XC3" s="46"/>
      <c r="XD3" s="46"/>
      <c r="XE3" s="46"/>
      <c r="XF3" s="46"/>
      <c r="XG3" s="46"/>
      <c r="XH3" s="46"/>
      <c r="XI3" s="46"/>
      <c r="XJ3" s="46"/>
      <c r="XK3" s="46"/>
      <c r="XL3" s="46"/>
      <c r="XM3" s="46"/>
      <c r="XN3" s="46"/>
      <c r="XO3" s="46"/>
      <c r="XP3" s="46"/>
      <c r="XQ3" s="46"/>
      <c r="XR3" s="46"/>
      <c r="XS3" s="46"/>
      <c r="XT3" s="46"/>
      <c r="XU3" s="46"/>
      <c r="XV3" s="46"/>
      <c r="XW3" s="46"/>
      <c r="XX3" s="46"/>
      <c r="XY3" s="46"/>
      <c r="XZ3" s="46"/>
      <c r="YA3" s="46"/>
      <c r="YB3" s="46"/>
      <c r="YC3" s="46"/>
      <c r="YD3" s="46"/>
      <c r="YE3" s="46"/>
      <c r="YF3" s="46"/>
      <c r="YG3" s="46"/>
      <c r="YH3" s="46"/>
      <c r="YI3" s="46"/>
      <c r="YJ3" s="46"/>
      <c r="YK3" s="46"/>
      <c r="YL3" s="46"/>
      <c r="YM3" s="46"/>
      <c r="YN3" s="46"/>
      <c r="YO3" s="46"/>
      <c r="YP3" s="46"/>
      <c r="YQ3" s="46"/>
      <c r="YR3" s="46"/>
      <c r="YS3" s="46"/>
      <c r="YT3" s="46"/>
      <c r="YU3" s="46"/>
      <c r="YV3" s="46"/>
      <c r="YW3" s="46"/>
      <c r="YX3" s="46"/>
      <c r="YY3" s="46"/>
      <c r="YZ3" s="46"/>
      <c r="ZA3" s="46"/>
      <c r="ZB3" s="46"/>
      <c r="ZC3" s="46"/>
      <c r="ZD3" s="46"/>
      <c r="ZE3" s="46"/>
      <c r="ZF3" s="46"/>
      <c r="ZG3" s="46"/>
      <c r="ZH3" s="46"/>
      <c r="ZI3" s="46"/>
      <c r="ZJ3" s="46"/>
      <c r="ZK3" s="46"/>
      <c r="ZL3" s="46"/>
      <c r="ZM3" s="46"/>
      <c r="ZN3" s="46"/>
      <c r="ZO3" s="46"/>
      <c r="ZP3" s="46"/>
      <c r="ZQ3" s="46"/>
      <c r="ZR3" s="46"/>
      <c r="ZS3" s="46"/>
      <c r="ZT3" s="46"/>
      <c r="ZU3" s="46"/>
      <c r="ZV3" s="46"/>
      <c r="ZW3" s="46"/>
      <c r="ZX3" s="46"/>
      <c r="ZY3" s="46"/>
      <c r="ZZ3" s="46"/>
      <c r="AAA3" s="46"/>
      <c r="AAB3" s="46"/>
      <c r="AAC3" s="46"/>
      <c r="AAD3" s="46"/>
      <c r="AAE3" s="46"/>
      <c r="AAF3" s="46"/>
      <c r="AAG3" s="46"/>
      <c r="AAH3" s="46"/>
      <c r="AAI3" s="46"/>
      <c r="AAJ3" s="46"/>
      <c r="AAK3" s="46"/>
      <c r="AAL3" s="46"/>
      <c r="AAM3" s="46"/>
      <c r="AAN3" s="46"/>
      <c r="AAO3" s="46"/>
      <c r="AAP3" s="46"/>
      <c r="AAQ3" s="46"/>
      <c r="AAR3" s="46"/>
      <c r="AAS3" s="46"/>
      <c r="AAT3" s="46"/>
      <c r="AAU3" s="46"/>
      <c r="AAV3" s="46"/>
      <c r="AAW3" s="46"/>
      <c r="AAX3" s="46"/>
      <c r="AAY3" s="46"/>
      <c r="AAZ3" s="46"/>
      <c r="ABA3" s="46"/>
      <c r="ABB3" s="46"/>
      <c r="ABC3" s="46"/>
      <c r="ABD3" s="46"/>
      <c r="ABE3" s="46"/>
      <c r="ABF3" s="46"/>
      <c r="ABG3" s="46"/>
      <c r="ABH3" s="46"/>
      <c r="ABI3" s="46"/>
      <c r="ABJ3" s="46"/>
      <c r="ABK3" s="46"/>
      <c r="ABL3" s="46"/>
      <c r="ABM3" s="46"/>
      <c r="ABN3" s="46"/>
      <c r="ABO3" s="46"/>
      <c r="ABP3" s="46"/>
      <c r="ABQ3" s="46"/>
      <c r="ABR3" s="46"/>
      <c r="ABS3" s="46"/>
      <c r="ABT3" s="46"/>
      <c r="ABU3" s="46"/>
      <c r="ABV3" s="46"/>
      <c r="ABW3" s="46"/>
      <c r="ABX3" s="46"/>
      <c r="ABY3" s="46"/>
      <c r="ABZ3" s="46"/>
      <c r="ACA3" s="46"/>
      <c r="ACB3" s="46"/>
      <c r="ACC3" s="46"/>
      <c r="ACD3" s="46"/>
      <c r="ACE3" s="46"/>
      <c r="ACF3" s="46"/>
      <c r="ACG3" s="46"/>
      <c r="ACH3" s="46"/>
      <c r="ACI3" s="46"/>
      <c r="ACJ3" s="46"/>
      <c r="ACK3" s="46"/>
      <c r="ACL3" s="46"/>
      <c r="ACM3" s="46"/>
      <c r="ACN3" s="46"/>
      <c r="ACO3" s="46"/>
      <c r="ACP3" s="46"/>
      <c r="ACQ3" s="46"/>
      <c r="ACR3" s="46"/>
      <c r="ACS3" s="46"/>
      <c r="ACT3" s="46"/>
      <c r="ACU3" s="46"/>
      <c r="ACV3" s="46"/>
      <c r="ACW3" s="46"/>
      <c r="ACX3" s="46"/>
      <c r="ACY3" s="46"/>
      <c r="ACZ3" s="46"/>
      <c r="ADA3" s="46"/>
      <c r="ADB3" s="46"/>
      <c r="ADC3" s="46"/>
      <c r="ADD3" s="46"/>
      <c r="ADE3" s="46"/>
      <c r="ADF3" s="46"/>
      <c r="ADG3" s="46"/>
      <c r="ADH3" s="46"/>
      <c r="ADI3" s="46"/>
      <c r="ADJ3" s="46"/>
      <c r="ADK3" s="46"/>
      <c r="ADL3" s="46"/>
      <c r="ADM3" s="46"/>
      <c r="ADN3" s="46"/>
      <c r="ADO3" s="46"/>
      <c r="ADP3" s="46"/>
      <c r="ADQ3" s="46"/>
      <c r="ADR3" s="46"/>
      <c r="ADS3" s="46"/>
      <c r="ADT3" s="46"/>
      <c r="ADU3" s="46"/>
      <c r="ADV3" s="46"/>
      <c r="ADW3" s="46"/>
      <c r="ADX3" s="46"/>
      <c r="ADY3" s="46"/>
      <c r="ADZ3" s="46"/>
      <c r="AEA3" s="46"/>
      <c r="AEB3" s="46"/>
      <c r="AEC3" s="46"/>
      <c r="AED3" s="46"/>
      <c r="AEE3" s="46"/>
      <c r="AEF3" s="46"/>
      <c r="AEG3" s="46"/>
      <c r="AEH3" s="46"/>
      <c r="AEI3" s="46"/>
      <c r="AEJ3" s="46"/>
      <c r="AEK3" s="46"/>
      <c r="AEL3" s="46"/>
      <c r="AEM3" s="46"/>
      <c r="AEN3" s="46"/>
      <c r="AEO3" s="46"/>
      <c r="AEP3" s="46"/>
      <c r="AEQ3" s="46"/>
      <c r="AER3" s="46"/>
      <c r="AES3" s="46"/>
      <c r="AET3" s="46"/>
      <c r="AEU3" s="46"/>
      <c r="AEV3" s="46"/>
      <c r="AEW3" s="46"/>
      <c r="AEX3" s="46"/>
    </row>
    <row r="4" spans="1:830" x14ac:dyDescent="0.2">
      <c r="A4" s="24"/>
      <c r="B4" s="24"/>
      <c r="C4" s="24"/>
      <c r="D4" s="24"/>
      <c r="E4" s="24"/>
      <c r="F4" s="24"/>
      <c r="G4" s="24"/>
      <c r="H4" s="24"/>
      <c r="I4" s="24"/>
      <c r="J4" s="24"/>
      <c r="K4" s="24"/>
      <c r="L4" s="24"/>
      <c r="M4" s="24"/>
      <c r="N4" s="24"/>
      <c r="O4" s="24"/>
      <c r="P4" s="24"/>
      <c r="Q4" s="24"/>
      <c r="R4" s="24"/>
      <c r="S4" s="24"/>
      <c r="T4" s="24"/>
      <c r="U4" s="24"/>
      <c r="V4" s="24"/>
      <c r="W4" s="24"/>
      <c r="X4" s="24"/>
      <c r="Y4" s="24"/>
      <c r="Z4" s="46"/>
    </row>
    <row r="5" spans="1:830" x14ac:dyDescent="0.2">
      <c r="A5" s="24"/>
      <c r="B5" s="24"/>
      <c r="C5" s="24"/>
      <c r="D5" s="24"/>
      <c r="E5" s="24"/>
      <c r="F5" s="24"/>
      <c r="G5" s="24"/>
      <c r="H5" s="24"/>
      <c r="I5" s="24"/>
      <c r="J5" s="24"/>
      <c r="K5" s="24"/>
      <c r="L5" s="24"/>
      <c r="M5" s="24"/>
      <c r="N5" s="24"/>
      <c r="O5" s="24"/>
      <c r="P5" s="24"/>
      <c r="Q5" s="24"/>
      <c r="R5" s="24"/>
      <c r="S5" s="24"/>
      <c r="T5" s="24"/>
      <c r="U5" s="24"/>
      <c r="V5" s="24"/>
      <c r="W5" s="24"/>
      <c r="X5" s="24"/>
      <c r="Y5" s="24"/>
      <c r="Z5" s="46"/>
    </row>
    <row r="6" spans="1:830" x14ac:dyDescent="0.2">
      <c r="A6" s="24"/>
      <c r="B6" s="24"/>
      <c r="C6" s="24"/>
      <c r="D6" s="24"/>
      <c r="E6" s="24"/>
      <c r="F6" s="24"/>
      <c r="G6" s="24"/>
      <c r="H6" s="24"/>
      <c r="I6" s="24"/>
      <c r="J6" s="24"/>
      <c r="K6" s="24"/>
      <c r="L6" s="24"/>
      <c r="M6" s="24"/>
      <c r="N6" s="24"/>
      <c r="O6" s="24"/>
      <c r="P6" s="24"/>
      <c r="Q6" s="24"/>
      <c r="R6" s="24"/>
      <c r="S6" s="24"/>
      <c r="T6" s="24"/>
      <c r="U6" s="24"/>
      <c r="V6" s="24"/>
      <c r="W6" s="24"/>
      <c r="X6" s="24"/>
      <c r="Y6" s="24"/>
      <c r="Z6" s="46"/>
    </row>
    <row r="7" spans="1:830" x14ac:dyDescent="0.2">
      <c r="A7" s="24"/>
      <c r="B7" s="24"/>
      <c r="C7" s="24"/>
      <c r="D7" s="24"/>
      <c r="E7" s="24"/>
      <c r="F7" s="24"/>
      <c r="G7" s="24"/>
      <c r="H7" s="24"/>
      <c r="I7" s="24"/>
      <c r="J7" s="24"/>
      <c r="K7" s="24"/>
      <c r="L7" s="24"/>
      <c r="M7" s="24"/>
      <c r="N7" s="24"/>
      <c r="O7" s="24"/>
      <c r="P7" s="24"/>
      <c r="Q7" s="24"/>
      <c r="R7" s="24"/>
      <c r="S7" s="24"/>
      <c r="T7" s="24"/>
      <c r="U7" s="24"/>
      <c r="V7" s="24"/>
      <c r="W7" s="24"/>
      <c r="X7" s="24"/>
      <c r="Y7" s="24"/>
      <c r="Z7" s="46"/>
    </row>
    <row r="8" spans="1:830" x14ac:dyDescent="0.2">
      <c r="A8" s="24"/>
      <c r="B8" s="24"/>
      <c r="C8" s="24"/>
      <c r="D8" s="24"/>
      <c r="E8" s="24"/>
      <c r="F8" s="24"/>
      <c r="G8" s="24"/>
      <c r="H8" s="24"/>
      <c r="I8" s="24"/>
      <c r="J8" s="24"/>
      <c r="K8" s="24"/>
      <c r="L8" s="24"/>
      <c r="M8" s="24"/>
      <c r="N8" s="24"/>
      <c r="O8" s="24"/>
      <c r="P8" s="24"/>
      <c r="Q8" s="24"/>
      <c r="R8" s="24"/>
      <c r="S8" s="24"/>
      <c r="T8" s="24"/>
      <c r="U8" s="24"/>
      <c r="V8" s="24"/>
      <c r="W8" s="24"/>
      <c r="X8" s="24"/>
      <c r="Y8" s="24"/>
      <c r="Z8" s="46"/>
    </row>
    <row r="9" spans="1:830" x14ac:dyDescent="0.2">
      <c r="A9" s="24"/>
      <c r="B9" s="24"/>
      <c r="C9" s="24"/>
      <c r="D9" s="24"/>
      <c r="E9" s="24"/>
      <c r="F9" s="24"/>
      <c r="G9" s="24"/>
      <c r="H9" s="24"/>
      <c r="I9" s="24"/>
      <c r="J9" s="24"/>
      <c r="K9" s="24"/>
      <c r="L9" s="24"/>
      <c r="M9" s="24"/>
      <c r="N9" s="24"/>
      <c r="O9" s="24"/>
      <c r="P9" s="24"/>
      <c r="Q9" s="24"/>
      <c r="R9" s="24"/>
      <c r="S9" s="24"/>
      <c r="T9" s="24"/>
      <c r="U9" s="24"/>
      <c r="V9" s="24"/>
      <c r="W9" s="24"/>
      <c r="X9" s="24"/>
      <c r="Y9" s="24"/>
      <c r="Z9" s="46"/>
    </row>
    <row r="10" spans="1:830" x14ac:dyDescent="0.2">
      <c r="A10" s="24"/>
      <c r="B10" s="24"/>
      <c r="C10" s="24"/>
      <c r="D10" s="24"/>
      <c r="E10" s="24"/>
      <c r="F10" s="24"/>
      <c r="G10" s="24"/>
      <c r="H10" s="24"/>
      <c r="I10" s="24"/>
      <c r="J10" s="24"/>
      <c r="K10" s="24"/>
      <c r="L10" s="24"/>
      <c r="M10" s="24"/>
      <c r="N10" s="24"/>
      <c r="O10" s="24"/>
      <c r="P10" s="24"/>
      <c r="Q10" s="24"/>
      <c r="R10" s="24"/>
      <c r="S10" s="24"/>
      <c r="T10" s="24"/>
      <c r="U10" s="24"/>
      <c r="V10" s="24"/>
      <c r="W10" s="24"/>
      <c r="X10" s="24"/>
      <c r="Y10" s="24"/>
      <c r="Z10" s="46"/>
    </row>
    <row r="11" spans="1:830" x14ac:dyDescent="0.2">
      <c r="A11" s="24"/>
      <c r="B11" s="24"/>
      <c r="C11" s="24"/>
      <c r="D11" s="24"/>
      <c r="E11" s="24"/>
      <c r="F11" s="24"/>
      <c r="G11" s="24"/>
      <c r="H11" s="24"/>
      <c r="I11" s="24"/>
      <c r="J11" s="24"/>
      <c r="K11" s="24"/>
      <c r="L11" s="24"/>
      <c r="M11" s="24"/>
      <c r="N11" s="24"/>
      <c r="O11" s="24"/>
      <c r="P11" s="24"/>
      <c r="Q11" s="24"/>
      <c r="R11" s="24"/>
      <c r="S11" s="24"/>
      <c r="T11" s="24"/>
      <c r="U11" s="24"/>
      <c r="V11" s="24"/>
      <c r="W11" s="24"/>
      <c r="X11" s="24"/>
      <c r="Y11" s="24"/>
      <c r="Z11" s="46"/>
    </row>
    <row r="12" spans="1:830" x14ac:dyDescent="0.2">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46"/>
    </row>
    <row r="13" spans="1:830" x14ac:dyDescent="0.2">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46"/>
    </row>
    <row r="14" spans="1:830" x14ac:dyDescent="0.2">
      <c r="A14" s="24"/>
      <c r="B14" s="24"/>
      <c r="C14" s="24"/>
      <c r="D14" s="24"/>
      <c r="E14" s="24"/>
      <c r="F14" s="24"/>
      <c r="G14" s="24"/>
      <c r="H14" s="24"/>
      <c r="I14" s="24"/>
      <c r="J14" s="24"/>
      <c r="K14" s="24"/>
      <c r="L14" s="24"/>
      <c r="M14" s="24"/>
      <c r="N14" s="24"/>
      <c r="O14" s="24"/>
      <c r="P14" s="24"/>
      <c r="Q14" s="24"/>
      <c r="R14" s="24"/>
      <c r="S14" s="24"/>
      <c r="T14" s="24"/>
      <c r="U14" s="24"/>
      <c r="V14" s="24"/>
      <c r="W14" s="24"/>
      <c r="X14" s="24"/>
      <c r="Y14" s="24"/>
      <c r="Z14" s="46"/>
    </row>
    <row r="15" spans="1:830" x14ac:dyDescent="0.2">
      <c r="A15" s="24"/>
      <c r="B15" s="24"/>
      <c r="C15" s="24"/>
      <c r="D15" s="24"/>
      <c r="E15" s="24"/>
      <c r="F15" s="24"/>
      <c r="G15" s="24"/>
      <c r="H15" s="24"/>
      <c r="I15" s="24"/>
      <c r="J15" s="24"/>
      <c r="K15" s="24"/>
      <c r="L15" s="24"/>
      <c r="M15" s="24"/>
      <c r="N15" s="24"/>
      <c r="O15" s="24"/>
      <c r="P15" s="24"/>
      <c r="Q15" s="24"/>
      <c r="R15" s="24"/>
      <c r="S15" s="24"/>
      <c r="T15" s="24"/>
      <c r="U15" s="24"/>
      <c r="V15" s="24"/>
      <c r="W15" s="24"/>
      <c r="X15" s="24"/>
      <c r="Y15" s="24"/>
      <c r="Z15" s="46"/>
    </row>
    <row r="16" spans="1:830" x14ac:dyDescent="0.2">
      <c r="A16" s="24"/>
      <c r="B16" s="24"/>
      <c r="C16" s="24"/>
      <c r="D16" s="24"/>
      <c r="E16" s="24"/>
      <c r="F16" s="24"/>
      <c r="G16" s="24"/>
      <c r="H16" s="24"/>
      <c r="I16" s="24"/>
      <c r="J16" s="24"/>
      <c r="K16" s="24"/>
      <c r="L16" s="24"/>
      <c r="M16" s="24"/>
      <c r="N16" s="24"/>
      <c r="O16" s="24"/>
      <c r="P16" s="24"/>
      <c r="Q16" s="24"/>
      <c r="R16" s="24"/>
      <c r="S16" s="24"/>
      <c r="T16" s="24"/>
      <c r="U16" s="24"/>
      <c r="V16" s="24"/>
      <c r="W16" s="24"/>
      <c r="X16" s="24"/>
      <c r="Y16" s="24"/>
      <c r="Z16" s="46"/>
    </row>
    <row r="17" spans="1:26" x14ac:dyDescent="0.2">
      <c r="A17" s="24"/>
      <c r="B17" s="24"/>
      <c r="C17" s="24"/>
      <c r="D17" s="24"/>
      <c r="E17" s="24"/>
      <c r="F17" s="24"/>
      <c r="G17" s="24"/>
      <c r="H17" s="24"/>
      <c r="I17" s="24"/>
      <c r="J17" s="24"/>
      <c r="K17" s="24"/>
      <c r="L17" s="24"/>
      <c r="M17" s="24"/>
      <c r="N17" s="24"/>
      <c r="O17" s="24"/>
      <c r="P17" s="24"/>
      <c r="Q17" s="24"/>
      <c r="R17" s="24"/>
      <c r="S17" s="24"/>
      <c r="T17" s="24"/>
      <c r="U17" s="24"/>
      <c r="V17" s="24"/>
      <c r="W17" s="24"/>
      <c r="X17" s="24"/>
      <c r="Y17" s="24"/>
      <c r="Z17" s="46"/>
    </row>
    <row r="18" spans="1:26" ht="15" x14ac:dyDescent="0.25">
      <c r="A18" s="24"/>
      <c r="B18" s="24"/>
      <c r="C18" s="24"/>
      <c r="D18" s="24"/>
      <c r="E18" s="24"/>
      <c r="F18" s="24"/>
      <c r="G18" s="24"/>
      <c r="H18" s="24"/>
      <c r="I18" s="24"/>
      <c r="J18" s="24"/>
      <c r="K18" s="24"/>
      <c r="L18" s="24"/>
      <c r="M18" s="24"/>
      <c r="N18" s="24"/>
      <c r="O18" s="24"/>
      <c r="P18" s="24"/>
      <c r="Q18" s="24"/>
      <c r="R18" s="33"/>
      <c r="S18" s="42" t="str">
        <f>Pivot!B76</f>
        <v>R01</v>
      </c>
      <c r="T18" s="42" t="str">
        <f>Pivot!C76</f>
        <v>R02</v>
      </c>
      <c r="U18" s="42" t="str">
        <f>Pivot!D76</f>
        <v>R03</v>
      </c>
      <c r="V18" s="42" t="str">
        <f>Pivot!E76</f>
        <v>R04</v>
      </c>
      <c r="W18" s="42" t="str">
        <f>Pivot!F76</f>
        <v>R05</v>
      </c>
      <c r="X18" s="43" t="s">
        <v>1076</v>
      </c>
      <c r="Y18" s="24"/>
      <c r="Z18" s="46"/>
    </row>
    <row r="19" spans="1:26" x14ac:dyDescent="0.2">
      <c r="A19" s="24"/>
      <c r="B19" s="24"/>
      <c r="C19" s="24"/>
      <c r="D19" s="24"/>
      <c r="E19" s="24"/>
      <c r="F19" s="24"/>
      <c r="G19" s="24"/>
      <c r="H19" s="24"/>
      <c r="I19" s="24"/>
      <c r="J19" s="24"/>
      <c r="K19" s="24"/>
      <c r="L19" s="24"/>
      <c r="M19" s="24"/>
      <c r="N19" s="24"/>
      <c r="O19" s="24"/>
      <c r="P19" s="24"/>
      <c r="Q19" s="24"/>
      <c r="R19" s="44" t="str">
        <f>Pivot!A77</f>
        <v>Cincinnati</v>
      </c>
      <c r="S19" s="34"/>
      <c r="T19" s="34"/>
      <c r="U19" s="34"/>
      <c r="V19" s="34"/>
      <c r="W19" s="34"/>
      <c r="X19" s="35"/>
      <c r="Y19" s="24"/>
      <c r="Z19" s="46"/>
    </row>
    <row r="20" spans="1:26" x14ac:dyDescent="0.2">
      <c r="A20" s="24"/>
      <c r="B20" s="24"/>
      <c r="C20" s="24"/>
      <c r="D20" s="24"/>
      <c r="E20" s="24"/>
      <c r="F20" s="24"/>
      <c r="G20" s="24"/>
      <c r="H20" s="24"/>
      <c r="I20" s="24"/>
      <c r="J20" s="24"/>
      <c r="K20" s="24"/>
      <c r="L20" s="24"/>
      <c r="M20" s="24"/>
      <c r="N20" s="24"/>
      <c r="O20" s="24"/>
      <c r="P20" s="32"/>
      <c r="Q20" s="24"/>
      <c r="R20" s="36" t="str">
        <f>Pivot!A78</f>
        <v>C0003</v>
      </c>
      <c r="S20" s="37">
        <f>Pivot!B78</f>
        <v>891</v>
      </c>
      <c r="T20" s="37">
        <f>Pivot!C78</f>
        <v>1332</v>
      </c>
      <c r="U20" s="37">
        <f>Pivot!D78</f>
        <v>1282</v>
      </c>
      <c r="V20" s="37">
        <f>Pivot!E78</f>
        <v>739</v>
      </c>
      <c r="W20" s="37">
        <f>Pivot!F78</f>
        <v>560</v>
      </c>
      <c r="X20" s="38">
        <f>Pivot!G78</f>
        <v>4804</v>
      </c>
      <c r="Y20" s="24"/>
      <c r="Z20" s="46"/>
    </row>
    <row r="21" spans="1:26" x14ac:dyDescent="0.2">
      <c r="A21" s="24"/>
      <c r="B21" s="24"/>
      <c r="C21" s="24"/>
      <c r="D21" s="24"/>
      <c r="E21" s="24"/>
      <c r="F21" s="24"/>
      <c r="G21" s="24"/>
      <c r="H21" s="24"/>
      <c r="I21" s="24"/>
      <c r="J21" s="24"/>
      <c r="K21" s="24"/>
      <c r="L21" s="24"/>
      <c r="M21" s="24"/>
      <c r="N21" s="24"/>
      <c r="O21" s="24"/>
      <c r="P21" s="32"/>
      <c r="Q21" s="24"/>
      <c r="R21" s="36" t="str">
        <f>Pivot!A79</f>
        <v>C0004</v>
      </c>
      <c r="S21" s="37">
        <f>Pivot!B79</f>
        <v>1991</v>
      </c>
      <c r="T21" s="37">
        <f>Pivot!C79</f>
        <v>1886</v>
      </c>
      <c r="U21" s="37">
        <f>Pivot!D79</f>
        <v>1206</v>
      </c>
      <c r="V21" s="37">
        <f>Pivot!E79</f>
        <v>884</v>
      </c>
      <c r="W21" s="37">
        <f>Pivot!F79</f>
        <v>1722</v>
      </c>
      <c r="X21" s="38">
        <f>Pivot!G79</f>
        <v>7689</v>
      </c>
      <c r="Y21" s="24"/>
      <c r="Z21" s="46"/>
    </row>
    <row r="22" spans="1:26" x14ac:dyDescent="0.2">
      <c r="A22" s="24"/>
      <c r="B22" s="24"/>
      <c r="C22" s="24"/>
      <c r="D22" s="24"/>
      <c r="E22" s="24"/>
      <c r="F22" s="24"/>
      <c r="G22" s="24"/>
      <c r="H22" s="24"/>
      <c r="I22" s="24"/>
      <c r="J22" s="24"/>
      <c r="K22" s="24"/>
      <c r="L22" s="24"/>
      <c r="M22" s="24"/>
      <c r="N22" s="24"/>
      <c r="O22" s="24"/>
      <c r="P22" s="32"/>
      <c r="Q22" s="24"/>
      <c r="R22" s="36" t="str">
        <f>Pivot!A80</f>
        <v>C0011</v>
      </c>
      <c r="S22" s="37">
        <f>Pivot!B80</f>
        <v>1163</v>
      </c>
      <c r="T22" s="37">
        <f>Pivot!C80</f>
        <v>1180</v>
      </c>
      <c r="U22" s="37">
        <f>Pivot!D80</f>
        <v>1616</v>
      </c>
      <c r="V22" s="37">
        <f>Pivot!E80</f>
        <v>1043</v>
      </c>
      <c r="W22" s="37">
        <f>Pivot!F80</f>
        <v>1747</v>
      </c>
      <c r="X22" s="38">
        <f>Pivot!G80</f>
        <v>6749</v>
      </c>
      <c r="Y22" s="24"/>
      <c r="Z22" s="46"/>
    </row>
    <row r="23" spans="1:26" x14ac:dyDescent="0.2">
      <c r="A23" s="24"/>
      <c r="B23" s="24"/>
      <c r="C23" s="24"/>
      <c r="D23" s="24"/>
      <c r="E23" s="24"/>
      <c r="F23" s="24"/>
      <c r="G23" s="24"/>
      <c r="H23" s="24"/>
      <c r="I23" s="24"/>
      <c r="J23" s="24"/>
      <c r="K23" s="24"/>
      <c r="L23" s="24"/>
      <c r="M23" s="24"/>
      <c r="N23" s="24"/>
      <c r="O23" s="24"/>
      <c r="P23" s="32"/>
      <c r="Q23" s="24"/>
      <c r="R23" s="36" t="str">
        <f>Pivot!A81</f>
        <v>C0012</v>
      </c>
      <c r="S23" s="37">
        <f>Pivot!B81</f>
        <v>1438</v>
      </c>
      <c r="T23" s="37">
        <f>Pivot!C81</f>
        <v>1616</v>
      </c>
      <c r="U23" s="37">
        <f>Pivot!D81</f>
        <v>866</v>
      </c>
      <c r="V23" s="37">
        <f>Pivot!E81</f>
        <v>829</v>
      </c>
      <c r="W23" s="37">
        <f>Pivot!F81</f>
        <v>2070</v>
      </c>
      <c r="X23" s="38">
        <f>Pivot!G81</f>
        <v>6819</v>
      </c>
      <c r="Y23" s="24"/>
      <c r="Z23" s="46"/>
    </row>
    <row r="24" spans="1:26" x14ac:dyDescent="0.2">
      <c r="A24" s="24"/>
      <c r="B24" s="24"/>
      <c r="C24" s="24"/>
      <c r="D24" s="24"/>
      <c r="E24" s="24"/>
      <c r="F24" s="24"/>
      <c r="G24" s="24"/>
      <c r="H24" s="24"/>
      <c r="I24" s="24"/>
      <c r="J24" s="24"/>
      <c r="K24" s="24"/>
      <c r="L24" s="24"/>
      <c r="M24" s="24"/>
      <c r="N24" s="24"/>
      <c r="O24" s="24"/>
      <c r="P24" s="32"/>
      <c r="Q24" s="24"/>
      <c r="R24" s="44" t="str">
        <f>Pivot!A82</f>
        <v>Cleveland</v>
      </c>
      <c r="S24" s="37"/>
      <c r="T24" s="37"/>
      <c r="U24" s="37"/>
      <c r="V24" s="37"/>
      <c r="W24" s="37"/>
      <c r="X24" s="38"/>
      <c r="Y24" s="24"/>
      <c r="Z24" s="46"/>
    </row>
    <row r="25" spans="1:26" x14ac:dyDescent="0.2">
      <c r="A25" s="24"/>
      <c r="B25" s="24"/>
      <c r="C25" s="24"/>
      <c r="D25" s="24"/>
      <c r="E25" s="24"/>
      <c r="F25" s="24"/>
      <c r="G25" s="24"/>
      <c r="H25" s="24"/>
      <c r="I25" s="24"/>
      <c r="J25" s="24"/>
      <c r="K25" s="24"/>
      <c r="L25" s="24"/>
      <c r="M25" s="24"/>
      <c r="N25" s="24"/>
      <c r="O25" s="24"/>
      <c r="P25" s="32"/>
      <c r="Q25" s="24"/>
      <c r="R25" s="36" t="str">
        <f>Pivot!A83</f>
        <v>C0002</v>
      </c>
      <c r="S25" s="37">
        <f>Pivot!B83</f>
        <v>1233</v>
      </c>
      <c r="T25" s="37">
        <f>Pivot!C83</f>
        <v>223</v>
      </c>
      <c r="U25" s="37">
        <f>Pivot!D83</f>
        <v>1680</v>
      </c>
      <c r="V25" s="37">
        <f>Pivot!E83</f>
        <v>990</v>
      </c>
      <c r="W25" s="37">
        <f>Pivot!F83</f>
        <v>1508</v>
      </c>
      <c r="X25" s="38">
        <f>Pivot!G83</f>
        <v>5634</v>
      </c>
      <c r="Y25" s="24"/>
      <c r="Z25" s="46"/>
    </row>
    <row r="26" spans="1:26" x14ac:dyDescent="0.2">
      <c r="A26" s="24"/>
      <c r="B26" s="24"/>
      <c r="C26" s="24"/>
      <c r="D26" s="24"/>
      <c r="E26" s="24"/>
      <c r="F26" s="24"/>
      <c r="G26" s="24"/>
      <c r="H26" s="24"/>
      <c r="I26" s="24"/>
      <c r="J26" s="24"/>
      <c r="K26" s="24"/>
      <c r="L26" s="24"/>
      <c r="M26" s="24"/>
      <c r="N26" s="24"/>
      <c r="O26" s="24"/>
      <c r="P26" s="32"/>
      <c r="Q26" s="24"/>
      <c r="R26" s="36" t="str">
        <f>Pivot!A84</f>
        <v>C0007</v>
      </c>
      <c r="S26" s="37">
        <f>Pivot!B84</f>
        <v>1598</v>
      </c>
      <c r="T26" s="37">
        <f>Pivot!C84</f>
        <v>1907</v>
      </c>
      <c r="U26" s="37">
        <f>Pivot!D84</f>
        <v>869</v>
      </c>
      <c r="V26" s="37">
        <f>Pivot!E84</f>
        <v>1426</v>
      </c>
      <c r="W26" s="37">
        <f>Pivot!F84</f>
        <v>1416</v>
      </c>
      <c r="X26" s="38">
        <f>Pivot!G84</f>
        <v>7216</v>
      </c>
      <c r="Y26" s="24"/>
      <c r="Z26" s="46"/>
    </row>
    <row r="27" spans="1:26" x14ac:dyDescent="0.2">
      <c r="A27" s="24"/>
      <c r="B27" s="24"/>
      <c r="C27" s="24"/>
      <c r="D27" s="24"/>
      <c r="E27" s="24"/>
      <c r="F27" s="24"/>
      <c r="G27" s="24"/>
      <c r="H27" s="24"/>
      <c r="I27" s="24"/>
      <c r="J27" s="24"/>
      <c r="K27" s="24"/>
      <c r="L27" s="24"/>
      <c r="M27" s="24"/>
      <c r="N27" s="24"/>
      <c r="O27" s="24"/>
      <c r="P27" s="32"/>
      <c r="Q27" s="24"/>
      <c r="R27" s="36" t="str">
        <f>Pivot!A85</f>
        <v>C0008</v>
      </c>
      <c r="S27" s="37">
        <f>Pivot!B85</f>
        <v>900</v>
      </c>
      <c r="T27" s="37">
        <f>Pivot!C85</f>
        <v>1016</v>
      </c>
      <c r="U27" s="37">
        <f>Pivot!D85</f>
        <v>960</v>
      </c>
      <c r="V27" s="37">
        <f>Pivot!E85</f>
        <v>940</v>
      </c>
      <c r="W27" s="37">
        <f>Pivot!F85</f>
        <v>1193</v>
      </c>
      <c r="X27" s="38">
        <f>Pivot!G85</f>
        <v>5009</v>
      </c>
      <c r="Y27" s="24"/>
      <c r="Z27" s="46"/>
    </row>
    <row r="28" spans="1:26" x14ac:dyDescent="0.2">
      <c r="A28" s="24"/>
      <c r="B28" s="24"/>
      <c r="C28" s="24"/>
      <c r="D28" s="24"/>
      <c r="E28" s="24"/>
      <c r="F28" s="24"/>
      <c r="G28" s="24"/>
      <c r="H28" s="24"/>
      <c r="I28" s="24"/>
      <c r="J28" s="24"/>
      <c r="K28" s="24"/>
      <c r="L28" s="24"/>
      <c r="M28" s="24"/>
      <c r="N28" s="24"/>
      <c r="O28" s="24"/>
      <c r="P28" s="32"/>
      <c r="Q28" s="24"/>
      <c r="R28" s="36" t="str">
        <f>Pivot!A86</f>
        <v>C0010</v>
      </c>
      <c r="S28" s="37">
        <f>Pivot!B86</f>
        <v>900</v>
      </c>
      <c r="T28" s="37">
        <f>Pivot!C86</f>
        <v>1470</v>
      </c>
      <c r="U28" s="37">
        <f>Pivot!D86</f>
        <v>1617</v>
      </c>
      <c r="V28" s="37">
        <f>Pivot!E86</f>
        <v>1314</v>
      </c>
      <c r="W28" s="37">
        <f>Pivot!F86</f>
        <v>941</v>
      </c>
      <c r="X28" s="38">
        <f>Pivot!G86</f>
        <v>6242</v>
      </c>
      <c r="Y28" s="24"/>
      <c r="Z28" s="46"/>
    </row>
    <row r="29" spans="1:26" x14ac:dyDescent="0.2">
      <c r="A29" s="24"/>
      <c r="B29" s="24"/>
      <c r="C29" s="24"/>
      <c r="D29" s="24"/>
      <c r="E29" s="24"/>
      <c r="F29" s="24"/>
      <c r="G29" s="24"/>
      <c r="H29" s="24"/>
      <c r="I29" s="24"/>
      <c r="J29" s="24"/>
      <c r="K29" s="24"/>
      <c r="L29" s="24"/>
      <c r="M29" s="24"/>
      <c r="N29" s="24"/>
      <c r="O29" s="24"/>
      <c r="P29" s="32"/>
      <c r="Q29" s="24"/>
      <c r="R29" s="36" t="str">
        <f>Pivot!A87</f>
        <v>C0013</v>
      </c>
      <c r="S29" s="37">
        <f>Pivot!B87</f>
        <v>1255</v>
      </c>
      <c r="T29" s="37">
        <f>Pivot!C87</f>
        <v>516</v>
      </c>
      <c r="U29" s="37">
        <f>Pivot!D87</f>
        <v>1874</v>
      </c>
      <c r="V29" s="37">
        <f>Pivot!E87</f>
        <v>1863</v>
      </c>
      <c r="W29" s="37">
        <f>Pivot!F87</f>
        <v>1722</v>
      </c>
      <c r="X29" s="38">
        <f>Pivot!G87</f>
        <v>7230</v>
      </c>
      <c r="Y29" s="24"/>
      <c r="Z29" s="46"/>
    </row>
    <row r="30" spans="1:26" x14ac:dyDescent="0.2">
      <c r="A30" s="24"/>
      <c r="B30" s="24"/>
      <c r="C30" s="24"/>
      <c r="D30" s="24"/>
      <c r="E30" s="24"/>
      <c r="F30" s="24"/>
      <c r="G30" s="24"/>
      <c r="H30" s="24"/>
      <c r="I30" s="24"/>
      <c r="J30" s="24"/>
      <c r="K30" s="24"/>
      <c r="L30" s="24"/>
      <c r="M30" s="24"/>
      <c r="N30" s="24"/>
      <c r="O30" s="24"/>
      <c r="P30" s="32"/>
      <c r="Q30" s="24"/>
      <c r="R30" s="36" t="str">
        <f>Pivot!A88</f>
        <v>C0015</v>
      </c>
      <c r="S30" s="37">
        <f>Pivot!B88</f>
        <v>1138</v>
      </c>
      <c r="T30" s="37">
        <f>Pivot!C88</f>
        <v>1898</v>
      </c>
      <c r="U30" s="37">
        <f>Pivot!D88</f>
        <v>1482</v>
      </c>
      <c r="V30" s="37">
        <f>Pivot!E88</f>
        <v>846</v>
      </c>
      <c r="W30" s="37">
        <f>Pivot!F88</f>
        <v>1154</v>
      </c>
      <c r="X30" s="38">
        <f>Pivot!G88</f>
        <v>6518</v>
      </c>
      <c r="Y30" s="24"/>
      <c r="Z30" s="46"/>
    </row>
    <row r="31" spans="1:26" x14ac:dyDescent="0.2">
      <c r="A31" s="24"/>
      <c r="B31" s="24"/>
      <c r="C31" s="24"/>
      <c r="D31" s="24"/>
      <c r="E31" s="24"/>
      <c r="F31" s="24"/>
      <c r="G31" s="24"/>
      <c r="H31" s="24"/>
      <c r="I31" s="24"/>
      <c r="J31" s="24"/>
      <c r="K31" s="24"/>
      <c r="L31" s="24"/>
      <c r="M31" s="24"/>
      <c r="N31" s="24"/>
      <c r="O31" s="24"/>
      <c r="P31" s="32"/>
      <c r="Q31" s="24"/>
      <c r="R31" s="44" t="str">
        <f>Pivot!A89</f>
        <v>Columbus</v>
      </c>
      <c r="S31" s="37"/>
      <c r="T31" s="37"/>
      <c r="U31" s="37"/>
      <c r="V31" s="37"/>
      <c r="W31" s="37"/>
      <c r="X31" s="38"/>
      <c r="Y31" s="24"/>
      <c r="Z31" s="46"/>
    </row>
    <row r="32" spans="1:26" x14ac:dyDescent="0.2">
      <c r="A32" s="24"/>
      <c r="B32" s="24"/>
      <c r="C32" s="24"/>
      <c r="D32" s="24"/>
      <c r="E32" s="24"/>
      <c r="F32" s="24"/>
      <c r="G32" s="24"/>
      <c r="H32" s="24"/>
      <c r="I32" s="24"/>
      <c r="J32" s="24"/>
      <c r="K32" s="24"/>
      <c r="L32" s="24"/>
      <c r="M32" s="24"/>
      <c r="N32" s="24"/>
      <c r="O32" s="24"/>
      <c r="P32" s="32"/>
      <c r="Q32" s="24"/>
      <c r="R32" s="36" t="str">
        <f>Pivot!A90</f>
        <v>C0001</v>
      </c>
      <c r="S32" s="37">
        <f>Pivot!B90</f>
        <v>1655</v>
      </c>
      <c r="T32" s="37">
        <f>Pivot!C90</f>
        <v>805</v>
      </c>
      <c r="U32" s="37">
        <f>Pivot!D90</f>
        <v>2263</v>
      </c>
      <c r="V32" s="37">
        <f>Pivot!E90</f>
        <v>987</v>
      </c>
      <c r="W32" s="37">
        <f>Pivot!F90</f>
        <v>1075</v>
      </c>
      <c r="X32" s="38">
        <f>Pivot!G90</f>
        <v>6785</v>
      </c>
      <c r="Y32" s="24"/>
      <c r="Z32" s="46"/>
    </row>
    <row r="33" spans="1:31" x14ac:dyDescent="0.2">
      <c r="A33" s="24"/>
      <c r="B33" s="24"/>
      <c r="C33" s="24"/>
      <c r="D33" s="24"/>
      <c r="E33" s="24"/>
      <c r="F33" s="24"/>
      <c r="G33" s="24"/>
      <c r="H33" s="24"/>
      <c r="I33" s="24"/>
      <c r="J33" s="24"/>
      <c r="K33" s="24"/>
      <c r="L33" s="24"/>
      <c r="M33" s="24"/>
      <c r="N33" s="24"/>
      <c r="O33" s="24"/>
      <c r="P33" s="31"/>
      <c r="Q33" s="24"/>
      <c r="R33" s="36" t="str">
        <f>Pivot!A91</f>
        <v>C0005</v>
      </c>
      <c r="S33" s="37">
        <f>Pivot!B91</f>
        <v>1104</v>
      </c>
      <c r="T33" s="37">
        <f>Pivot!C91</f>
        <v>2280</v>
      </c>
      <c r="U33" s="37">
        <f>Pivot!D91</f>
        <v>1445</v>
      </c>
      <c r="V33" s="37">
        <f>Pivot!E91</f>
        <v>1722</v>
      </c>
      <c r="W33" s="37">
        <f>Pivot!F91</f>
        <v>1196</v>
      </c>
      <c r="X33" s="38">
        <f>Pivot!G91</f>
        <v>7747</v>
      </c>
      <c r="Y33" s="24"/>
      <c r="Z33" s="46"/>
    </row>
    <row r="34" spans="1:31" x14ac:dyDescent="0.2">
      <c r="A34" s="24"/>
      <c r="B34" s="24"/>
      <c r="C34" s="24"/>
      <c r="D34" s="24"/>
      <c r="E34" s="24"/>
      <c r="F34" s="24"/>
      <c r="G34" s="24"/>
      <c r="H34" s="24"/>
      <c r="I34" s="24"/>
      <c r="J34" s="24"/>
      <c r="K34" s="24"/>
      <c r="L34" s="24"/>
      <c r="M34" s="24"/>
      <c r="N34" s="24"/>
      <c r="O34" s="24"/>
      <c r="P34" s="31"/>
      <c r="Q34" s="24"/>
      <c r="R34" s="36" t="str">
        <f>Pivot!A92</f>
        <v>C0006</v>
      </c>
      <c r="S34" s="37">
        <f>Pivot!B92</f>
        <v>372</v>
      </c>
      <c r="T34" s="37">
        <f>Pivot!C92</f>
        <v>1818</v>
      </c>
      <c r="U34" s="37">
        <f>Pivot!D92</f>
        <v>1346</v>
      </c>
      <c r="V34" s="37">
        <f>Pivot!E92</f>
        <v>1156</v>
      </c>
      <c r="W34" s="37">
        <f>Pivot!F92</f>
        <v>1484</v>
      </c>
      <c r="X34" s="38">
        <f>Pivot!G92</f>
        <v>6176</v>
      </c>
      <c r="Y34" s="24"/>
      <c r="Z34" s="46"/>
    </row>
    <row r="35" spans="1:31" x14ac:dyDescent="0.2">
      <c r="A35" s="24"/>
      <c r="B35" s="24"/>
      <c r="C35" s="24"/>
      <c r="D35" s="24"/>
      <c r="E35" s="24"/>
      <c r="F35" s="24"/>
      <c r="G35" s="24"/>
      <c r="H35" s="24"/>
      <c r="I35" s="24"/>
      <c r="J35" s="24"/>
      <c r="K35" s="24"/>
      <c r="L35" s="24"/>
      <c r="M35" s="24"/>
      <c r="N35" s="24"/>
      <c r="O35" s="24"/>
      <c r="P35" s="31"/>
      <c r="Q35" s="24"/>
      <c r="R35" s="36" t="str">
        <f>Pivot!A93</f>
        <v>C0009</v>
      </c>
      <c r="S35" s="37">
        <f>Pivot!B93</f>
        <v>1415</v>
      </c>
      <c r="T35" s="37">
        <f>Pivot!C93</f>
        <v>1271</v>
      </c>
      <c r="U35" s="37">
        <f>Pivot!D93</f>
        <v>1214</v>
      </c>
      <c r="V35" s="37">
        <f>Pivot!E93</f>
        <v>1135</v>
      </c>
      <c r="W35" s="37">
        <f>Pivot!F93</f>
        <v>1566</v>
      </c>
      <c r="X35" s="38">
        <f>Pivot!G93</f>
        <v>6601</v>
      </c>
      <c r="Y35" s="24"/>
      <c r="Z35" s="46"/>
    </row>
    <row r="36" spans="1:31" x14ac:dyDescent="0.2">
      <c r="A36" s="24"/>
      <c r="B36" s="24"/>
      <c r="C36" s="24"/>
      <c r="D36" s="24"/>
      <c r="E36" s="24"/>
      <c r="F36" s="24"/>
      <c r="G36" s="24"/>
      <c r="H36" s="24"/>
      <c r="I36" s="24"/>
      <c r="J36" s="24"/>
      <c r="K36" s="24"/>
      <c r="L36" s="24"/>
      <c r="M36" s="24"/>
      <c r="N36" s="24"/>
      <c r="O36" s="24"/>
      <c r="P36" s="31"/>
      <c r="Q36" s="24"/>
      <c r="R36" s="39" t="str">
        <f>Pivot!A94</f>
        <v>C0014</v>
      </c>
      <c r="S36" s="40">
        <f>Pivot!B94</f>
        <v>1362</v>
      </c>
      <c r="T36" s="40">
        <f>Pivot!C94</f>
        <v>1363</v>
      </c>
      <c r="U36" s="40">
        <f>Pivot!D94</f>
        <v>1152</v>
      </c>
      <c r="V36" s="40">
        <f>Pivot!E94</f>
        <v>777</v>
      </c>
      <c r="W36" s="40">
        <f>Pivot!F94</f>
        <v>750</v>
      </c>
      <c r="X36" s="41">
        <f>Pivot!G94</f>
        <v>5404</v>
      </c>
      <c r="Y36" s="24"/>
      <c r="Z36" s="46"/>
    </row>
    <row r="37" spans="1:31" x14ac:dyDescent="0.2">
      <c r="A37" s="24"/>
      <c r="B37" s="24"/>
      <c r="C37" s="24"/>
      <c r="D37" s="24"/>
      <c r="E37" s="24"/>
      <c r="F37" s="24"/>
      <c r="G37" s="24"/>
      <c r="H37" s="24"/>
      <c r="I37" s="24"/>
      <c r="J37" s="24"/>
      <c r="K37" s="24"/>
      <c r="L37" s="24"/>
      <c r="M37" s="24"/>
      <c r="N37" s="24"/>
      <c r="O37" s="24"/>
      <c r="P37" s="31"/>
      <c r="Q37" s="24"/>
      <c r="R37" s="24"/>
      <c r="S37" s="24"/>
      <c r="T37" s="24"/>
      <c r="U37" s="24"/>
      <c r="V37" s="24"/>
      <c r="W37" s="24"/>
      <c r="X37" s="24"/>
      <c r="Y37" s="24"/>
      <c r="Z37" s="46"/>
    </row>
    <row r="38" spans="1:31" x14ac:dyDescent="0.2">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46"/>
    </row>
    <row r="39" spans="1:31" x14ac:dyDescent="0.2">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46"/>
    </row>
    <row r="40" spans="1:31" x14ac:dyDescent="0.2">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46"/>
    </row>
    <row r="41" spans="1:31" x14ac:dyDescent="0.2">
      <c r="A41" s="46"/>
      <c r="B41" s="46"/>
      <c r="C41" s="46"/>
      <c r="D41" s="46"/>
      <c r="E41" s="46"/>
      <c r="F41" s="46"/>
      <c r="G41" s="46"/>
      <c r="H41" s="46"/>
      <c r="I41" s="46"/>
      <c r="J41" s="46"/>
      <c r="K41" s="46"/>
      <c r="L41" s="46"/>
      <c r="M41" s="46"/>
      <c r="N41" s="46"/>
      <c r="O41" s="46"/>
      <c r="P41" s="46"/>
      <c r="Q41" s="46"/>
      <c r="R41" s="46"/>
      <c r="S41" s="46"/>
      <c r="T41" s="46"/>
      <c r="U41" s="46"/>
      <c r="V41" s="46"/>
      <c r="W41" s="46"/>
      <c r="X41" s="46"/>
      <c r="Y41" s="46"/>
      <c r="Z41" s="46"/>
      <c r="AA41" s="46"/>
      <c r="AB41" s="46"/>
      <c r="AC41" s="46"/>
      <c r="AD41" s="46"/>
      <c r="AE41" s="46"/>
    </row>
    <row r="42" spans="1:31" x14ac:dyDescent="0.2">
      <c r="A42" s="46"/>
      <c r="B42" s="46"/>
      <c r="C42" s="46"/>
      <c r="D42" s="46"/>
      <c r="E42" s="46"/>
      <c r="F42" s="46"/>
      <c r="G42" s="46"/>
      <c r="H42" s="46"/>
      <c r="I42" s="46"/>
      <c r="J42" s="46"/>
      <c r="K42" s="46"/>
      <c r="L42" s="46"/>
      <c r="M42" s="46"/>
      <c r="N42" s="46"/>
      <c r="O42" s="46"/>
      <c r="P42" s="46"/>
      <c r="Q42" s="46"/>
      <c r="R42" s="46"/>
      <c r="S42" s="46"/>
      <c r="T42" s="46"/>
      <c r="U42" s="46"/>
      <c r="V42" s="46"/>
      <c r="W42" s="46"/>
      <c r="X42" s="46"/>
      <c r="Y42" s="46"/>
      <c r="Z42" s="46"/>
      <c r="AA42" s="46"/>
      <c r="AB42" s="46"/>
      <c r="AC42" s="46"/>
      <c r="AD42" s="46"/>
      <c r="AE42" s="46"/>
    </row>
    <row r="43" spans="1:31" x14ac:dyDescent="0.2">
      <c r="A43" s="46"/>
      <c r="B43" s="46"/>
      <c r="C43" s="46"/>
      <c r="D43" s="46"/>
      <c r="E43" s="46"/>
      <c r="F43" s="46"/>
      <c r="G43" s="46"/>
      <c r="H43" s="46"/>
      <c r="I43" s="46"/>
      <c r="J43" s="46"/>
      <c r="K43" s="46"/>
      <c r="L43" s="46"/>
      <c r="M43" s="46"/>
      <c r="N43" s="46"/>
      <c r="O43" s="46"/>
      <c r="P43" s="46"/>
      <c r="Q43" s="46"/>
      <c r="R43" s="46"/>
      <c r="S43" s="46"/>
      <c r="T43" s="46"/>
      <c r="U43" s="46"/>
      <c r="V43" s="46"/>
      <c r="W43" s="46"/>
      <c r="X43" s="46"/>
      <c r="Y43" s="46"/>
      <c r="Z43" s="46"/>
      <c r="AA43" s="46"/>
      <c r="AB43" s="46"/>
      <c r="AC43" s="46"/>
      <c r="AD43" s="46"/>
      <c r="AE43" s="46"/>
    </row>
    <row r="44" spans="1:31" x14ac:dyDescent="0.2">
      <c r="A44" s="46"/>
      <c r="B44" s="46"/>
      <c r="C44" s="46"/>
      <c r="D44" s="46"/>
      <c r="E44" s="46"/>
      <c r="F44" s="46"/>
      <c r="G44" s="46"/>
      <c r="H44" s="46"/>
      <c r="I44" s="46"/>
      <c r="J44" s="46"/>
      <c r="K44" s="46"/>
      <c r="L44" s="46"/>
      <c r="M44" s="46"/>
      <c r="N44" s="46"/>
      <c r="O44" s="46"/>
      <c r="P44" s="46"/>
      <c r="Q44" s="46"/>
      <c r="R44" s="46"/>
      <c r="S44" s="46"/>
      <c r="T44" s="46"/>
      <c r="U44" s="46"/>
      <c r="V44" s="46"/>
      <c r="W44" s="46"/>
      <c r="X44" s="46"/>
      <c r="Y44" s="46"/>
      <c r="Z44" s="46"/>
      <c r="AA44" s="46"/>
      <c r="AB44" s="46"/>
      <c r="AC44" s="46"/>
      <c r="AD44" s="46"/>
      <c r="AE44" s="46"/>
    </row>
    <row r="45" spans="1:31" x14ac:dyDescent="0.2">
      <c r="A45" s="46"/>
      <c r="B45" s="46"/>
      <c r="C45" s="46"/>
      <c r="D45" s="46"/>
      <c r="E45" s="46"/>
      <c r="F45" s="46"/>
      <c r="G45" s="46"/>
      <c r="H45" s="46"/>
      <c r="I45" s="46"/>
      <c r="J45" s="46"/>
      <c r="K45" s="46"/>
      <c r="L45" s="46"/>
      <c r="M45" s="46"/>
      <c r="N45" s="46"/>
      <c r="O45" s="46"/>
      <c r="P45" s="46"/>
      <c r="Q45" s="46"/>
      <c r="R45" s="46"/>
      <c r="S45" s="46"/>
      <c r="T45" s="46"/>
      <c r="U45" s="46"/>
      <c r="V45" s="46"/>
      <c r="W45" s="46"/>
      <c r="X45" s="46"/>
      <c r="Y45" s="46"/>
      <c r="Z45" s="46"/>
      <c r="AA45" s="46"/>
      <c r="AB45" s="46"/>
      <c r="AC45" s="46"/>
      <c r="AD45" s="46"/>
      <c r="AE45" s="46"/>
    </row>
    <row r="46" spans="1:31" x14ac:dyDescent="0.2">
      <c r="A46" s="46"/>
      <c r="B46" s="46"/>
      <c r="C46" s="46"/>
      <c r="D46" s="46"/>
      <c r="E46" s="46"/>
      <c r="F46" s="46"/>
      <c r="G46" s="46"/>
      <c r="H46" s="46"/>
      <c r="I46" s="46"/>
      <c r="J46" s="46"/>
      <c r="K46" s="46"/>
      <c r="L46" s="46"/>
      <c r="M46" s="46"/>
      <c r="N46" s="46"/>
      <c r="O46" s="46"/>
      <c r="P46" s="46"/>
      <c r="Q46" s="46"/>
      <c r="R46" s="46"/>
      <c r="S46" s="46"/>
      <c r="T46" s="46"/>
      <c r="U46" s="46"/>
      <c r="V46" s="46"/>
      <c r="W46" s="46"/>
      <c r="X46" s="46"/>
      <c r="Y46" s="46"/>
      <c r="Z46" s="46"/>
      <c r="AA46" s="46"/>
      <c r="AB46" s="46"/>
      <c r="AC46" s="46"/>
      <c r="AD46" s="46"/>
      <c r="AE46" s="46"/>
    </row>
    <row r="47" spans="1:31" x14ac:dyDescent="0.2">
      <c r="A47" s="46"/>
      <c r="B47" s="46"/>
      <c r="C47" s="46"/>
      <c r="D47" s="46"/>
      <c r="E47" s="46"/>
      <c r="F47" s="46"/>
      <c r="G47" s="46"/>
      <c r="H47" s="46"/>
      <c r="I47" s="46"/>
      <c r="J47" s="46"/>
      <c r="K47" s="46"/>
      <c r="L47" s="46"/>
      <c r="M47" s="46"/>
      <c r="N47" s="46"/>
      <c r="O47" s="46"/>
      <c r="P47" s="46"/>
      <c r="Q47" s="46"/>
      <c r="R47" s="46"/>
      <c r="S47" s="46"/>
      <c r="T47" s="46"/>
      <c r="U47" s="46"/>
      <c r="V47" s="46"/>
      <c r="W47" s="46"/>
      <c r="X47" s="46"/>
      <c r="Y47" s="46"/>
      <c r="Z47" s="46"/>
      <c r="AA47" s="46"/>
      <c r="AB47" s="46"/>
      <c r="AC47" s="46"/>
      <c r="AD47" s="46"/>
      <c r="AE47" s="46"/>
    </row>
    <row r="48" spans="1:31" x14ac:dyDescent="0.2">
      <c r="A48" s="46"/>
      <c r="B48" s="46"/>
      <c r="C48" s="46"/>
      <c r="D48" s="46"/>
      <c r="E48" s="46"/>
      <c r="F48" s="46"/>
      <c r="G48" s="46"/>
      <c r="H48" s="46"/>
      <c r="I48" s="46"/>
      <c r="J48" s="46"/>
      <c r="K48" s="46"/>
      <c r="L48" s="46"/>
      <c r="M48" s="46"/>
      <c r="N48" s="46"/>
      <c r="O48" s="46"/>
      <c r="P48" s="46"/>
      <c r="Q48" s="46"/>
      <c r="R48" s="46"/>
      <c r="S48" s="46"/>
      <c r="T48" s="46"/>
      <c r="U48" s="46"/>
      <c r="V48" s="46"/>
      <c r="W48" s="46"/>
      <c r="X48" s="46"/>
      <c r="Y48" s="46"/>
      <c r="Z48" s="46"/>
      <c r="AA48" s="46"/>
      <c r="AB48" s="46"/>
      <c r="AC48" s="46"/>
      <c r="AD48" s="46"/>
      <c r="AE48" s="46"/>
    </row>
    <row r="49" spans="1:31" x14ac:dyDescent="0.2">
      <c r="A49" s="46"/>
      <c r="B49" s="46"/>
      <c r="C49" s="46"/>
      <c r="D49" s="46"/>
      <c r="E49" s="46"/>
      <c r="F49" s="46"/>
      <c r="G49" s="46"/>
      <c r="H49" s="46"/>
      <c r="I49" s="46"/>
      <c r="J49" s="46"/>
      <c r="K49" s="46"/>
      <c r="L49" s="46"/>
      <c r="M49" s="46"/>
      <c r="N49" s="46"/>
      <c r="O49" s="46"/>
      <c r="P49" s="46"/>
      <c r="Q49" s="46"/>
      <c r="R49" s="46"/>
      <c r="S49" s="46"/>
      <c r="T49" s="46"/>
      <c r="U49" s="46"/>
      <c r="V49" s="46"/>
      <c r="W49" s="46"/>
      <c r="X49" s="46"/>
      <c r="Y49" s="46"/>
      <c r="Z49" s="46"/>
      <c r="AA49" s="46"/>
      <c r="AB49" s="46"/>
      <c r="AC49" s="46"/>
      <c r="AD49" s="46"/>
      <c r="AE49" s="46"/>
    </row>
    <row r="50" spans="1:31" x14ac:dyDescent="0.2">
      <c r="A50" s="46"/>
      <c r="B50" s="46"/>
      <c r="C50" s="46"/>
      <c r="D50" s="46"/>
      <c r="E50" s="46"/>
      <c r="F50" s="46"/>
      <c r="G50" s="46"/>
      <c r="H50" s="46"/>
      <c r="I50" s="46"/>
      <c r="J50" s="46"/>
      <c r="K50" s="46"/>
      <c r="L50" s="46"/>
      <c r="M50" s="46"/>
      <c r="N50" s="46"/>
      <c r="O50" s="46"/>
      <c r="P50" s="46"/>
      <c r="Q50" s="46"/>
      <c r="R50" s="46"/>
      <c r="S50" s="46"/>
      <c r="T50" s="46"/>
      <c r="U50" s="46"/>
      <c r="V50" s="46"/>
      <c r="W50" s="46"/>
      <c r="X50" s="46"/>
      <c r="Y50" s="46"/>
      <c r="Z50" s="46"/>
      <c r="AA50" s="46"/>
      <c r="AB50" s="46"/>
      <c r="AC50" s="46"/>
      <c r="AD50" s="46"/>
      <c r="AE50" s="46"/>
    </row>
    <row r="51" spans="1:31" x14ac:dyDescent="0.2">
      <c r="A51" s="46"/>
      <c r="B51" s="46"/>
      <c r="C51" s="46"/>
      <c r="D51" s="46"/>
      <c r="E51" s="46"/>
      <c r="F51" s="46"/>
      <c r="G51" s="46"/>
      <c r="H51" s="46"/>
      <c r="I51" s="46"/>
      <c r="J51" s="46"/>
      <c r="K51" s="46"/>
      <c r="L51" s="46"/>
      <c r="M51" s="46"/>
      <c r="N51" s="46"/>
      <c r="O51" s="46"/>
      <c r="P51" s="46"/>
      <c r="Q51" s="46"/>
      <c r="R51" s="46"/>
      <c r="S51" s="46"/>
      <c r="T51" s="46"/>
      <c r="U51" s="46"/>
      <c r="V51" s="46"/>
      <c r="W51" s="46"/>
      <c r="X51" s="46"/>
      <c r="Y51" s="46"/>
      <c r="Z51" s="46"/>
      <c r="AA51" s="46"/>
      <c r="AB51" s="46"/>
      <c r="AC51" s="46"/>
      <c r="AD51" s="46"/>
      <c r="AE51" s="46"/>
    </row>
    <row r="52" spans="1:31" x14ac:dyDescent="0.2">
      <c r="A52" s="46"/>
      <c r="B52" s="46"/>
      <c r="C52" s="46"/>
      <c r="D52" s="46"/>
      <c r="E52" s="46"/>
      <c r="F52" s="46"/>
      <c r="G52" s="46"/>
      <c r="H52" s="46"/>
      <c r="I52" s="46"/>
      <c r="J52" s="46"/>
      <c r="K52" s="46"/>
      <c r="L52" s="46"/>
      <c r="M52" s="46"/>
      <c r="N52" s="46"/>
      <c r="O52" s="46"/>
      <c r="P52" s="46"/>
      <c r="Q52" s="46"/>
      <c r="R52" s="46"/>
      <c r="S52" s="46"/>
      <c r="T52" s="46"/>
      <c r="U52" s="46"/>
      <c r="V52" s="46"/>
      <c r="W52" s="46"/>
      <c r="X52" s="46"/>
      <c r="Y52" s="46"/>
      <c r="Z52" s="46"/>
      <c r="AA52" s="46"/>
      <c r="AB52" s="46"/>
      <c r="AC52" s="46"/>
      <c r="AD52" s="46"/>
      <c r="AE52" s="46"/>
    </row>
    <row r="53" spans="1:31" x14ac:dyDescent="0.2">
      <c r="A53" s="46"/>
      <c r="B53" s="46"/>
      <c r="C53" s="46"/>
      <c r="D53" s="46"/>
      <c r="E53" s="46"/>
      <c r="F53" s="46"/>
      <c r="G53" s="46"/>
      <c r="H53" s="46"/>
      <c r="I53" s="46"/>
      <c r="J53" s="46"/>
      <c r="K53" s="46"/>
      <c r="L53" s="46"/>
      <c r="M53" s="46"/>
      <c r="N53" s="46"/>
      <c r="O53" s="46"/>
      <c r="P53" s="46"/>
      <c r="Q53" s="46"/>
      <c r="R53" s="46"/>
      <c r="S53" s="46"/>
      <c r="T53" s="46"/>
      <c r="U53" s="46"/>
      <c r="V53" s="46"/>
      <c r="W53" s="46"/>
      <c r="X53" s="46"/>
      <c r="Y53" s="46"/>
      <c r="Z53" s="46"/>
      <c r="AA53" s="46"/>
      <c r="AB53" s="46"/>
      <c r="AC53" s="46"/>
      <c r="AD53" s="46"/>
      <c r="AE53" s="46"/>
    </row>
    <row r="54" spans="1:31" x14ac:dyDescent="0.2">
      <c r="A54" s="46"/>
      <c r="B54" s="46"/>
      <c r="C54" s="46"/>
      <c r="D54" s="46"/>
      <c r="E54" s="46"/>
      <c r="F54" s="46"/>
      <c r="G54" s="46"/>
      <c r="H54" s="46"/>
      <c r="I54" s="46"/>
      <c r="J54" s="46"/>
      <c r="K54" s="46"/>
      <c r="L54" s="46"/>
      <c r="M54" s="46"/>
      <c r="N54" s="46"/>
      <c r="O54" s="46"/>
      <c r="P54" s="46"/>
      <c r="Q54" s="46"/>
      <c r="R54" s="46"/>
      <c r="S54" s="46"/>
      <c r="T54" s="46"/>
      <c r="U54" s="46"/>
      <c r="V54" s="46"/>
      <c r="W54" s="46"/>
      <c r="X54" s="46"/>
      <c r="Y54" s="46"/>
      <c r="Z54" s="46"/>
      <c r="AA54" s="46"/>
      <c r="AB54" s="46"/>
      <c r="AC54" s="46"/>
      <c r="AD54" s="46"/>
      <c r="AE54" s="46"/>
    </row>
    <row r="55" spans="1:31" x14ac:dyDescent="0.2">
      <c r="A55" s="46"/>
      <c r="B55" s="46"/>
      <c r="C55" s="46"/>
      <c r="D55" s="46"/>
      <c r="E55" s="46"/>
      <c r="F55" s="46"/>
      <c r="G55" s="46"/>
      <c r="H55" s="46"/>
      <c r="I55" s="46"/>
      <c r="J55" s="46"/>
      <c r="K55" s="46"/>
      <c r="L55" s="46"/>
      <c r="M55" s="46"/>
      <c r="N55" s="46"/>
      <c r="O55" s="46"/>
      <c r="P55" s="46"/>
      <c r="Q55" s="46"/>
      <c r="R55" s="46"/>
      <c r="S55" s="46"/>
      <c r="T55" s="46"/>
      <c r="U55" s="46"/>
      <c r="V55" s="46"/>
      <c r="W55" s="46"/>
      <c r="X55" s="46"/>
      <c r="Y55" s="46"/>
      <c r="Z55" s="46"/>
      <c r="AA55" s="46"/>
      <c r="AB55" s="46"/>
      <c r="AC55" s="46"/>
      <c r="AD55" s="46"/>
      <c r="AE55" s="46"/>
    </row>
    <row r="56" spans="1:31" x14ac:dyDescent="0.2">
      <c r="A56" s="46"/>
      <c r="B56" s="46"/>
      <c r="C56" s="46"/>
      <c r="D56" s="46"/>
      <c r="E56" s="46"/>
      <c r="F56" s="46"/>
      <c r="G56" s="46"/>
      <c r="H56" s="46"/>
      <c r="I56" s="46"/>
      <c r="J56" s="46"/>
      <c r="K56" s="46"/>
      <c r="L56" s="46"/>
      <c r="M56" s="46"/>
      <c r="N56" s="46"/>
      <c r="O56" s="46"/>
      <c r="P56" s="46"/>
      <c r="Q56" s="46"/>
      <c r="R56" s="46"/>
      <c r="S56" s="46"/>
      <c r="T56" s="46"/>
      <c r="U56" s="46"/>
      <c r="V56" s="46"/>
      <c r="W56" s="46"/>
      <c r="X56" s="46"/>
      <c r="Y56" s="46"/>
      <c r="Z56" s="46"/>
      <c r="AA56" s="46"/>
      <c r="AB56" s="46"/>
      <c r="AC56" s="46"/>
      <c r="AD56" s="46"/>
      <c r="AE56" s="46"/>
    </row>
    <row r="57" spans="1:31" x14ac:dyDescent="0.2">
      <c r="A57" s="46"/>
      <c r="B57" s="46"/>
      <c r="C57" s="46"/>
      <c r="D57" s="46"/>
      <c r="E57" s="46"/>
      <c r="F57" s="46"/>
      <c r="G57" s="46"/>
      <c r="H57" s="46"/>
      <c r="I57" s="46"/>
      <c r="J57" s="46"/>
      <c r="K57" s="46"/>
      <c r="L57" s="46"/>
      <c r="M57" s="46"/>
      <c r="N57" s="46"/>
      <c r="O57" s="46"/>
      <c r="P57" s="46"/>
      <c r="Q57" s="46"/>
      <c r="R57" s="46"/>
      <c r="S57" s="46"/>
      <c r="T57" s="46"/>
      <c r="U57" s="46"/>
      <c r="V57" s="46"/>
      <c r="W57" s="46"/>
      <c r="X57" s="46"/>
      <c r="Y57" s="46"/>
      <c r="Z57" s="46"/>
      <c r="AA57" s="46"/>
      <c r="AB57" s="46"/>
      <c r="AC57" s="46"/>
      <c r="AD57" s="46"/>
      <c r="AE57" s="46"/>
    </row>
    <row r="58" spans="1:31" x14ac:dyDescent="0.2">
      <c r="A58" s="46"/>
      <c r="B58" s="46"/>
      <c r="C58" s="46"/>
      <c r="D58" s="46"/>
      <c r="E58" s="46"/>
      <c r="F58" s="46"/>
      <c r="G58" s="46"/>
      <c r="H58" s="46"/>
      <c r="I58" s="46"/>
      <c r="J58" s="46"/>
      <c r="K58" s="46"/>
      <c r="L58" s="46"/>
      <c r="M58" s="46"/>
      <c r="N58" s="46"/>
      <c r="O58" s="46"/>
      <c r="P58" s="46"/>
      <c r="Q58" s="46"/>
      <c r="R58" s="46"/>
      <c r="S58" s="46"/>
      <c r="T58" s="46"/>
      <c r="U58" s="46"/>
      <c r="V58" s="46"/>
      <c r="W58" s="46"/>
      <c r="X58" s="46"/>
      <c r="Y58" s="46"/>
      <c r="Z58" s="46"/>
      <c r="AA58" s="46"/>
      <c r="AB58" s="46"/>
      <c r="AC58" s="46"/>
      <c r="AD58" s="46"/>
      <c r="AE58" s="46"/>
    </row>
    <row r="59" spans="1:31" x14ac:dyDescent="0.2">
      <c r="A59" s="46"/>
      <c r="B59" s="46"/>
      <c r="C59" s="46"/>
      <c r="D59" s="46"/>
      <c r="E59" s="46"/>
      <c r="F59" s="46"/>
      <c r="G59" s="46"/>
      <c r="H59" s="46"/>
      <c r="I59" s="46"/>
      <c r="J59" s="46"/>
      <c r="K59" s="46"/>
      <c r="L59" s="46"/>
      <c r="M59" s="46"/>
      <c r="N59" s="46"/>
      <c r="O59" s="46"/>
      <c r="P59" s="46"/>
      <c r="Q59" s="46"/>
      <c r="R59" s="46"/>
      <c r="S59" s="46"/>
      <c r="T59" s="46"/>
      <c r="U59" s="46"/>
      <c r="V59" s="46"/>
      <c r="W59" s="46"/>
      <c r="X59" s="46"/>
      <c r="Y59" s="46"/>
      <c r="Z59" s="46"/>
      <c r="AA59" s="46"/>
      <c r="AB59" s="46"/>
      <c r="AC59" s="46"/>
      <c r="AD59" s="46"/>
      <c r="AE59" s="46"/>
    </row>
    <row r="60" spans="1:31" x14ac:dyDescent="0.2">
      <c r="A60" s="46"/>
      <c r="B60" s="46"/>
      <c r="C60" s="46"/>
      <c r="D60" s="46"/>
      <c r="E60" s="46"/>
      <c r="F60" s="46"/>
      <c r="G60" s="46"/>
      <c r="H60" s="46"/>
      <c r="I60" s="46"/>
      <c r="J60" s="46"/>
      <c r="K60" s="46"/>
      <c r="L60" s="46"/>
      <c r="M60" s="46"/>
      <c r="N60" s="46"/>
      <c r="O60" s="46"/>
      <c r="P60" s="46"/>
      <c r="Q60" s="46"/>
      <c r="R60" s="46"/>
      <c r="S60" s="46"/>
      <c r="T60" s="46"/>
      <c r="U60" s="46"/>
      <c r="V60" s="46"/>
      <c r="W60" s="46"/>
      <c r="X60" s="46"/>
      <c r="Y60" s="46"/>
      <c r="Z60" s="46"/>
      <c r="AA60" s="46"/>
      <c r="AB60" s="46"/>
      <c r="AC60" s="46"/>
      <c r="AD60" s="46"/>
      <c r="AE60" s="46"/>
    </row>
    <row r="61" spans="1:31" x14ac:dyDescent="0.2">
      <c r="A61" s="46"/>
      <c r="B61" s="46"/>
      <c r="C61" s="46"/>
      <c r="D61" s="46"/>
      <c r="E61" s="46"/>
      <c r="F61" s="46"/>
      <c r="G61" s="46"/>
      <c r="H61" s="46"/>
      <c r="I61" s="46"/>
      <c r="J61" s="46"/>
      <c r="K61" s="46"/>
      <c r="L61" s="46"/>
      <c r="M61" s="46"/>
      <c r="N61" s="46"/>
      <c r="O61" s="46"/>
      <c r="P61" s="46"/>
      <c r="Q61" s="46"/>
      <c r="R61" s="46"/>
      <c r="S61" s="46"/>
      <c r="T61" s="46"/>
      <c r="U61" s="46"/>
      <c r="V61" s="46"/>
      <c r="W61" s="46"/>
      <c r="X61" s="46"/>
      <c r="Y61" s="46"/>
      <c r="Z61" s="46"/>
      <c r="AA61" s="46"/>
      <c r="AB61" s="46"/>
      <c r="AC61" s="46"/>
      <c r="AD61" s="46"/>
      <c r="AE61" s="46"/>
    </row>
    <row r="62" spans="1:31" x14ac:dyDescent="0.2">
      <c r="A62" s="46"/>
      <c r="B62" s="46"/>
      <c r="C62" s="46"/>
      <c r="D62" s="46"/>
      <c r="E62" s="46"/>
      <c r="F62" s="46"/>
      <c r="G62" s="46"/>
      <c r="H62" s="46"/>
      <c r="I62" s="46"/>
      <c r="J62" s="46"/>
      <c r="K62" s="46"/>
      <c r="L62" s="46"/>
      <c r="M62" s="46"/>
      <c r="N62" s="46"/>
      <c r="O62" s="46"/>
      <c r="P62" s="46"/>
      <c r="Q62" s="46"/>
      <c r="R62" s="46"/>
      <c r="S62" s="46"/>
      <c r="T62" s="46"/>
      <c r="U62" s="46"/>
      <c r="V62" s="46"/>
      <c r="W62" s="46"/>
      <c r="X62" s="46"/>
      <c r="Y62" s="46"/>
      <c r="Z62" s="46"/>
      <c r="AA62" s="46"/>
      <c r="AB62" s="46"/>
      <c r="AC62" s="46"/>
      <c r="AD62" s="46"/>
      <c r="AE62" s="46"/>
    </row>
    <row r="63" spans="1:31" x14ac:dyDescent="0.2">
      <c r="A63" s="46"/>
      <c r="B63" s="46"/>
      <c r="C63" s="46"/>
      <c r="D63" s="46"/>
      <c r="E63" s="46"/>
      <c r="F63" s="46"/>
      <c r="G63" s="46"/>
      <c r="H63" s="46"/>
      <c r="I63" s="46"/>
      <c r="J63" s="46"/>
      <c r="K63" s="46"/>
      <c r="L63" s="46"/>
      <c r="M63" s="46"/>
      <c r="N63" s="46"/>
      <c r="O63" s="46"/>
      <c r="P63" s="46"/>
      <c r="Q63" s="46"/>
      <c r="R63" s="46"/>
      <c r="S63" s="46"/>
      <c r="T63" s="46"/>
      <c r="U63" s="46"/>
      <c r="V63" s="46"/>
      <c r="W63" s="46"/>
      <c r="X63" s="46"/>
      <c r="Y63" s="46"/>
      <c r="Z63" s="46"/>
      <c r="AA63" s="46"/>
      <c r="AB63" s="46"/>
      <c r="AC63" s="46"/>
      <c r="AD63" s="46"/>
      <c r="AE63" s="46"/>
    </row>
    <row r="64" spans="1:31" x14ac:dyDescent="0.2">
      <c r="A64" s="46"/>
      <c r="B64" s="46"/>
      <c r="C64" s="46"/>
      <c r="D64" s="46"/>
      <c r="E64" s="46"/>
      <c r="F64" s="46"/>
      <c r="G64" s="46"/>
      <c r="H64" s="46"/>
      <c r="I64" s="46"/>
      <c r="J64" s="46"/>
      <c r="K64" s="46"/>
      <c r="L64" s="46"/>
      <c r="M64" s="46"/>
      <c r="N64" s="46"/>
      <c r="O64" s="46"/>
      <c r="P64" s="46"/>
      <c r="Q64" s="46"/>
      <c r="R64" s="46"/>
      <c r="S64" s="46"/>
      <c r="T64" s="46"/>
      <c r="U64" s="46"/>
      <c r="V64" s="46"/>
      <c r="W64" s="46"/>
      <c r="X64" s="46"/>
      <c r="Y64" s="46"/>
      <c r="Z64" s="46"/>
      <c r="AA64" s="46"/>
      <c r="AB64" s="46"/>
      <c r="AC64" s="46"/>
      <c r="AD64" s="46"/>
      <c r="AE64" s="46"/>
    </row>
    <row r="65" spans="1:31" x14ac:dyDescent="0.2">
      <c r="A65" s="46"/>
      <c r="B65" s="46"/>
      <c r="C65" s="46"/>
      <c r="D65" s="46"/>
      <c r="E65" s="46"/>
      <c r="F65" s="46"/>
      <c r="G65" s="46"/>
      <c r="H65" s="46"/>
      <c r="I65" s="46"/>
      <c r="J65" s="46"/>
      <c r="K65" s="46"/>
      <c r="L65" s="46"/>
      <c r="M65" s="46"/>
      <c r="N65" s="46"/>
      <c r="O65" s="46"/>
      <c r="P65" s="46"/>
      <c r="Q65" s="46"/>
      <c r="R65" s="46"/>
      <c r="S65" s="46"/>
      <c r="T65" s="46"/>
      <c r="U65" s="46"/>
      <c r="V65" s="46"/>
      <c r="W65" s="46"/>
      <c r="X65" s="46"/>
      <c r="Y65" s="46"/>
      <c r="Z65" s="46"/>
      <c r="AA65" s="46"/>
      <c r="AB65" s="46"/>
      <c r="AC65" s="46"/>
      <c r="AD65" s="46"/>
      <c r="AE65" s="46"/>
    </row>
    <row r="66" spans="1:31" x14ac:dyDescent="0.2">
      <c r="A66" s="46"/>
      <c r="B66" s="46"/>
      <c r="C66" s="46"/>
      <c r="D66" s="46"/>
      <c r="E66" s="46"/>
      <c r="F66" s="46"/>
      <c r="G66" s="46"/>
      <c r="H66" s="46"/>
      <c r="I66" s="46"/>
      <c r="J66" s="46"/>
      <c r="K66" s="46"/>
      <c r="L66" s="46"/>
      <c r="M66" s="46"/>
      <c r="N66" s="46"/>
      <c r="O66" s="46"/>
      <c r="P66" s="46"/>
      <c r="Q66" s="46"/>
      <c r="R66" s="46"/>
      <c r="S66" s="46"/>
      <c r="T66" s="46"/>
      <c r="U66" s="46"/>
      <c r="V66" s="46"/>
      <c r="W66" s="46"/>
      <c r="X66" s="46"/>
      <c r="Y66" s="46"/>
      <c r="Z66" s="46"/>
      <c r="AA66" s="46"/>
      <c r="AB66" s="46"/>
      <c r="AC66" s="46"/>
      <c r="AD66" s="46"/>
      <c r="AE66" s="46"/>
    </row>
    <row r="67" spans="1:31" x14ac:dyDescent="0.2">
      <c r="A67" s="46"/>
      <c r="B67" s="46"/>
      <c r="C67" s="46"/>
      <c r="D67" s="46"/>
      <c r="E67" s="46"/>
      <c r="F67" s="46"/>
      <c r="G67" s="46"/>
      <c r="H67" s="46"/>
      <c r="I67" s="46"/>
      <c r="J67" s="46"/>
      <c r="K67" s="46"/>
      <c r="L67" s="46"/>
      <c r="M67" s="46"/>
      <c r="N67" s="46"/>
      <c r="O67" s="46"/>
      <c r="P67" s="46"/>
      <c r="Q67" s="46"/>
      <c r="R67" s="46"/>
      <c r="S67" s="46"/>
      <c r="T67" s="46"/>
      <c r="U67" s="46"/>
      <c r="V67" s="46"/>
      <c r="W67" s="46"/>
      <c r="X67" s="46"/>
      <c r="Y67" s="46"/>
      <c r="Z67" s="46"/>
      <c r="AA67" s="46"/>
      <c r="AB67" s="46"/>
      <c r="AC67" s="46"/>
      <c r="AD67" s="46"/>
      <c r="AE67" s="46"/>
    </row>
    <row r="68" spans="1:31" x14ac:dyDescent="0.2">
      <c r="A68" s="46"/>
      <c r="B68" s="46"/>
      <c r="C68" s="46"/>
      <c r="D68" s="46"/>
      <c r="E68" s="46"/>
      <c r="F68" s="46"/>
      <c r="G68" s="46"/>
      <c r="H68" s="46"/>
      <c r="I68" s="46"/>
      <c r="J68" s="46"/>
      <c r="K68" s="46"/>
      <c r="L68" s="46"/>
      <c r="M68" s="46"/>
      <c r="N68" s="46"/>
      <c r="O68" s="46"/>
      <c r="P68" s="46"/>
      <c r="Q68" s="46"/>
      <c r="R68" s="46"/>
      <c r="S68" s="46"/>
      <c r="T68" s="46"/>
      <c r="U68" s="46"/>
      <c r="V68" s="46"/>
      <c r="W68" s="46"/>
      <c r="X68" s="46"/>
      <c r="Y68" s="46"/>
      <c r="Z68" s="46"/>
      <c r="AA68" s="46"/>
      <c r="AB68" s="46"/>
      <c r="AC68" s="46"/>
      <c r="AD68" s="46"/>
      <c r="AE68" s="46"/>
    </row>
    <row r="69" spans="1:31" x14ac:dyDescent="0.2">
      <c r="A69" s="46"/>
      <c r="B69" s="46"/>
      <c r="C69" s="46"/>
      <c r="D69" s="46"/>
      <c r="E69" s="46"/>
      <c r="F69" s="46"/>
      <c r="G69" s="46"/>
      <c r="H69" s="46"/>
      <c r="I69" s="46"/>
      <c r="J69" s="46"/>
      <c r="K69" s="46"/>
      <c r="L69" s="46"/>
      <c r="M69" s="46"/>
      <c r="N69" s="46"/>
      <c r="O69" s="46"/>
      <c r="P69" s="46"/>
      <c r="Q69" s="46"/>
      <c r="R69" s="46"/>
      <c r="S69" s="46"/>
      <c r="T69" s="46"/>
      <c r="U69" s="46"/>
      <c r="V69" s="46"/>
      <c r="W69" s="46"/>
      <c r="X69" s="46"/>
      <c r="Y69" s="46"/>
      <c r="Z69" s="46"/>
      <c r="AA69" s="46"/>
      <c r="AB69" s="46"/>
      <c r="AC69" s="46"/>
      <c r="AD69" s="46"/>
      <c r="AE69" s="46"/>
    </row>
    <row r="70" spans="1:31" x14ac:dyDescent="0.2">
      <c r="A70" s="46"/>
      <c r="B70" s="46"/>
      <c r="C70" s="46"/>
      <c r="D70" s="46"/>
      <c r="E70" s="46"/>
      <c r="F70" s="46"/>
      <c r="G70" s="46"/>
      <c r="H70" s="46"/>
      <c r="I70" s="46"/>
      <c r="J70" s="46"/>
      <c r="K70" s="46"/>
      <c r="L70" s="46"/>
      <c r="M70" s="46"/>
      <c r="N70" s="46"/>
      <c r="O70" s="46"/>
      <c r="P70" s="46"/>
      <c r="Q70" s="46"/>
      <c r="R70" s="46"/>
      <c r="S70" s="46"/>
      <c r="T70" s="46"/>
      <c r="U70" s="46"/>
      <c r="V70" s="46"/>
      <c r="W70" s="46"/>
      <c r="X70" s="46"/>
      <c r="Y70" s="46"/>
      <c r="Z70" s="46"/>
      <c r="AA70" s="46"/>
      <c r="AB70" s="46"/>
      <c r="AC70" s="46"/>
      <c r="AD70" s="46"/>
      <c r="AE70" s="46"/>
    </row>
    <row r="71" spans="1:31" x14ac:dyDescent="0.2">
      <c r="A71" s="46"/>
      <c r="B71" s="46"/>
      <c r="C71" s="46"/>
      <c r="D71" s="46"/>
      <c r="E71" s="46"/>
      <c r="F71" s="46"/>
      <c r="G71" s="46"/>
      <c r="H71" s="46"/>
      <c r="I71" s="46"/>
      <c r="J71" s="46"/>
      <c r="K71" s="46"/>
      <c r="L71" s="46"/>
      <c r="M71" s="46"/>
      <c r="N71" s="46"/>
      <c r="O71" s="46"/>
      <c r="P71" s="46"/>
      <c r="Q71" s="46"/>
      <c r="R71" s="46"/>
      <c r="S71" s="46"/>
      <c r="T71" s="46"/>
      <c r="U71" s="46"/>
      <c r="V71" s="46"/>
      <c r="W71" s="46"/>
      <c r="X71" s="46"/>
      <c r="Y71" s="46"/>
      <c r="Z71" s="46"/>
      <c r="AA71" s="46"/>
      <c r="AB71" s="46"/>
      <c r="AC71" s="46"/>
      <c r="AD71" s="46"/>
      <c r="AE71" s="46"/>
    </row>
    <row r="72" spans="1:31" x14ac:dyDescent="0.2">
      <c r="A72" s="46"/>
      <c r="B72" s="46"/>
      <c r="C72" s="46"/>
      <c r="D72" s="46"/>
      <c r="E72" s="46"/>
      <c r="F72" s="46"/>
      <c r="G72" s="46"/>
      <c r="H72" s="46"/>
      <c r="I72" s="46"/>
      <c r="J72" s="46"/>
      <c r="K72" s="46"/>
      <c r="L72" s="46"/>
      <c r="M72" s="46"/>
      <c r="N72" s="46"/>
      <c r="O72" s="46"/>
      <c r="P72" s="46"/>
      <c r="Q72" s="46"/>
      <c r="R72" s="46"/>
      <c r="S72" s="46"/>
      <c r="T72" s="46"/>
      <c r="U72" s="46"/>
      <c r="V72" s="46"/>
      <c r="W72" s="46"/>
      <c r="X72" s="46"/>
      <c r="Y72" s="46"/>
      <c r="Z72" s="46"/>
      <c r="AA72" s="46"/>
      <c r="AB72" s="46"/>
      <c r="AC72" s="46"/>
      <c r="AD72" s="46"/>
      <c r="AE72" s="46"/>
    </row>
    <row r="73" spans="1:31" x14ac:dyDescent="0.2">
      <c r="A73" s="46"/>
      <c r="B73" s="46"/>
      <c r="C73" s="46"/>
      <c r="D73" s="46"/>
      <c r="E73" s="46"/>
      <c r="F73" s="46"/>
      <c r="G73" s="46"/>
      <c r="H73" s="46"/>
      <c r="I73" s="46"/>
      <c r="J73" s="46"/>
      <c r="K73" s="46"/>
      <c r="L73" s="46"/>
      <c r="M73" s="46"/>
      <c r="N73" s="46"/>
      <c r="O73" s="46"/>
      <c r="P73" s="46"/>
      <c r="Q73" s="46"/>
      <c r="R73" s="46"/>
      <c r="S73" s="46"/>
      <c r="T73" s="46"/>
      <c r="U73" s="46"/>
      <c r="V73" s="46"/>
      <c r="W73" s="46"/>
      <c r="X73" s="46"/>
      <c r="Y73" s="46"/>
      <c r="Z73" s="46"/>
      <c r="AA73" s="46"/>
      <c r="AB73" s="46"/>
      <c r="AC73" s="46"/>
      <c r="AD73" s="46"/>
      <c r="AE73" s="46"/>
    </row>
    <row r="74" spans="1:31" x14ac:dyDescent="0.2">
      <c r="A74" s="46"/>
      <c r="B74" s="46"/>
      <c r="C74" s="46"/>
      <c r="D74" s="46"/>
      <c r="E74" s="46"/>
      <c r="F74" s="46"/>
      <c r="G74" s="46"/>
      <c r="H74" s="46"/>
      <c r="I74" s="46"/>
      <c r="J74" s="46"/>
      <c r="K74" s="46"/>
      <c r="L74" s="46"/>
      <c r="M74" s="46"/>
      <c r="N74" s="46"/>
      <c r="O74" s="46"/>
      <c r="P74" s="46"/>
      <c r="Q74" s="46"/>
      <c r="R74" s="46"/>
      <c r="S74" s="46"/>
      <c r="T74" s="46"/>
      <c r="U74" s="46"/>
      <c r="V74" s="46"/>
      <c r="W74" s="46"/>
      <c r="X74" s="46"/>
      <c r="Y74" s="46"/>
      <c r="Z74" s="46"/>
      <c r="AA74" s="46"/>
      <c r="AB74" s="46"/>
      <c r="AC74" s="46"/>
      <c r="AD74" s="46"/>
      <c r="AE74" s="46"/>
    </row>
    <row r="75" spans="1:31" x14ac:dyDescent="0.2">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c r="AA75" s="46"/>
      <c r="AB75" s="46"/>
      <c r="AC75" s="46"/>
      <c r="AD75" s="46"/>
      <c r="AE75" s="46"/>
    </row>
    <row r="76" spans="1:31" x14ac:dyDescent="0.2">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c r="AA76" s="46"/>
      <c r="AB76" s="46"/>
      <c r="AC76" s="46"/>
      <c r="AD76" s="46"/>
      <c r="AE76" s="46"/>
    </row>
    <row r="77" spans="1:31" x14ac:dyDescent="0.2">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c r="AA77" s="46"/>
      <c r="AB77" s="46"/>
      <c r="AC77" s="46"/>
      <c r="AD77" s="46"/>
      <c r="AE77" s="46"/>
    </row>
    <row r="78" spans="1:31" x14ac:dyDescent="0.2">
      <c r="A78" s="46"/>
      <c r="B78" s="46"/>
      <c r="C78" s="46"/>
      <c r="D78" s="46"/>
      <c r="E78" s="46"/>
      <c r="F78" s="46"/>
      <c r="G78" s="46"/>
      <c r="H78" s="46"/>
      <c r="I78" s="46"/>
      <c r="J78" s="46"/>
      <c r="K78" s="46"/>
      <c r="L78" s="46"/>
      <c r="M78" s="46"/>
      <c r="N78" s="46"/>
      <c r="O78" s="46"/>
      <c r="P78" s="46"/>
      <c r="Q78" s="46"/>
      <c r="R78" s="46"/>
      <c r="S78" s="46"/>
      <c r="T78" s="46"/>
      <c r="U78" s="46"/>
      <c r="V78" s="46"/>
      <c r="W78" s="46"/>
      <c r="X78" s="46"/>
      <c r="Y78" s="46"/>
      <c r="Z78" s="46"/>
      <c r="AA78" s="46"/>
      <c r="AB78" s="46"/>
      <c r="AC78" s="46"/>
      <c r="AD78" s="46"/>
      <c r="AE78" s="46"/>
    </row>
    <row r="79" spans="1:31" x14ac:dyDescent="0.2">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c r="AA79" s="46"/>
      <c r="AB79" s="46"/>
      <c r="AC79" s="46"/>
      <c r="AD79" s="46"/>
      <c r="AE79" s="46"/>
    </row>
    <row r="80" spans="1:31" x14ac:dyDescent="0.2">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c r="AA80" s="46"/>
      <c r="AB80" s="46"/>
      <c r="AC80" s="46"/>
      <c r="AD80" s="46"/>
      <c r="AE80" s="46"/>
    </row>
    <row r="81" spans="1:31" x14ac:dyDescent="0.2">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c r="AA81" s="46"/>
      <c r="AB81" s="46"/>
      <c r="AC81" s="46"/>
      <c r="AD81" s="46"/>
      <c r="AE81" s="46"/>
    </row>
    <row r="82" spans="1:31" x14ac:dyDescent="0.2">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c r="AA82" s="46"/>
      <c r="AB82" s="46"/>
      <c r="AC82" s="46"/>
      <c r="AD82" s="46"/>
      <c r="AE82" s="46"/>
    </row>
    <row r="83" spans="1:31" x14ac:dyDescent="0.2">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c r="AA83" s="46"/>
      <c r="AB83" s="46"/>
      <c r="AC83" s="46"/>
      <c r="AD83" s="46"/>
      <c r="AE83" s="46"/>
    </row>
    <row r="84" spans="1:31" x14ac:dyDescent="0.2">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c r="AA84" s="46"/>
      <c r="AB84" s="46"/>
      <c r="AC84" s="46"/>
      <c r="AD84" s="46"/>
      <c r="AE84" s="46"/>
    </row>
    <row r="85" spans="1:31" x14ac:dyDescent="0.2">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c r="AA85" s="46"/>
      <c r="AB85" s="46"/>
      <c r="AC85" s="46"/>
      <c r="AD85" s="46"/>
      <c r="AE85" s="46"/>
    </row>
    <row r="86" spans="1:31" x14ac:dyDescent="0.2">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c r="AA86" s="46"/>
      <c r="AB86" s="46"/>
      <c r="AC86" s="46"/>
      <c r="AD86" s="46"/>
      <c r="AE86" s="46"/>
    </row>
    <row r="87" spans="1:31" x14ac:dyDescent="0.2">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c r="AA87" s="46"/>
      <c r="AB87" s="46"/>
      <c r="AC87" s="46"/>
      <c r="AD87" s="46"/>
      <c r="AE87" s="46"/>
    </row>
    <row r="88" spans="1:31" x14ac:dyDescent="0.2">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c r="AA88" s="46"/>
      <c r="AB88" s="46"/>
      <c r="AC88" s="46"/>
      <c r="AD88" s="46"/>
      <c r="AE88" s="46"/>
    </row>
    <row r="89" spans="1:31" x14ac:dyDescent="0.2">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c r="AA89" s="46"/>
      <c r="AB89" s="46"/>
      <c r="AC89" s="46"/>
      <c r="AD89" s="46"/>
      <c r="AE89" s="46"/>
    </row>
    <row r="90" spans="1:31" x14ac:dyDescent="0.2">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c r="AA90" s="46"/>
      <c r="AB90" s="46"/>
      <c r="AC90" s="46"/>
      <c r="AD90" s="46"/>
      <c r="AE90" s="46"/>
    </row>
    <row r="91" spans="1:31" x14ac:dyDescent="0.2">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c r="AA91" s="46"/>
      <c r="AB91" s="46"/>
      <c r="AC91" s="46"/>
      <c r="AD91" s="46"/>
      <c r="AE91" s="46"/>
    </row>
    <row r="92" spans="1:31" x14ac:dyDescent="0.2">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c r="AA92" s="46"/>
      <c r="AB92" s="46"/>
      <c r="AC92" s="46"/>
      <c r="AD92" s="46"/>
      <c r="AE92" s="46"/>
    </row>
    <row r="93" spans="1:31" x14ac:dyDescent="0.2">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c r="AA93" s="46"/>
      <c r="AB93" s="46"/>
      <c r="AC93" s="46"/>
      <c r="AD93" s="46"/>
      <c r="AE93" s="46"/>
    </row>
    <row r="94" spans="1:31" x14ac:dyDescent="0.2">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c r="AA94" s="46"/>
      <c r="AB94" s="46"/>
      <c r="AC94" s="46"/>
      <c r="AD94" s="46"/>
      <c r="AE94" s="46"/>
    </row>
    <row r="95" spans="1:31" x14ac:dyDescent="0.2">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c r="AA95" s="46"/>
      <c r="AB95" s="46"/>
      <c r="AC95" s="46"/>
      <c r="AD95" s="46"/>
      <c r="AE95" s="46"/>
    </row>
    <row r="96" spans="1:31" x14ac:dyDescent="0.2">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c r="AA96" s="46"/>
      <c r="AB96" s="46"/>
      <c r="AC96" s="46"/>
      <c r="AD96" s="46"/>
      <c r="AE96" s="46"/>
    </row>
    <row r="97" spans="1:31" x14ac:dyDescent="0.2">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c r="AA97" s="46"/>
      <c r="AB97" s="46"/>
      <c r="AC97" s="46"/>
      <c r="AD97" s="46"/>
      <c r="AE97" s="46"/>
    </row>
    <row r="98" spans="1:31" x14ac:dyDescent="0.2">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c r="AA98" s="46"/>
      <c r="AB98" s="46"/>
      <c r="AC98" s="46"/>
      <c r="AD98" s="46"/>
      <c r="AE98" s="46"/>
    </row>
    <row r="99" spans="1:31" x14ac:dyDescent="0.2">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c r="AA99" s="46"/>
      <c r="AB99" s="46"/>
      <c r="AC99" s="46"/>
      <c r="AD99" s="46"/>
      <c r="AE99" s="46"/>
    </row>
    <row r="100" spans="1:31" x14ac:dyDescent="0.2">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c r="AA100" s="46"/>
      <c r="AB100" s="46"/>
      <c r="AC100" s="46"/>
      <c r="AD100" s="46"/>
      <c r="AE100" s="46"/>
    </row>
    <row r="101" spans="1:31" x14ac:dyDescent="0.2">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c r="AA101" s="46"/>
      <c r="AB101" s="46"/>
      <c r="AC101" s="46"/>
      <c r="AD101" s="46"/>
      <c r="AE101" s="46"/>
    </row>
    <row r="102" spans="1:31" x14ac:dyDescent="0.2">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c r="AA102" s="46"/>
      <c r="AB102" s="46"/>
      <c r="AC102" s="46"/>
      <c r="AD102" s="46"/>
      <c r="AE102" s="46"/>
    </row>
    <row r="103" spans="1:31" x14ac:dyDescent="0.2">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c r="AA103" s="46"/>
      <c r="AB103" s="46"/>
      <c r="AC103" s="46"/>
      <c r="AD103" s="46"/>
      <c r="AE103" s="46"/>
    </row>
    <row r="104" spans="1:31" x14ac:dyDescent="0.2">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c r="AA104" s="46"/>
      <c r="AB104" s="46"/>
      <c r="AC104" s="46"/>
      <c r="AD104" s="46"/>
      <c r="AE104" s="46"/>
    </row>
    <row r="105" spans="1:31" x14ac:dyDescent="0.2">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c r="AA105" s="46"/>
      <c r="AB105" s="46"/>
      <c r="AC105" s="46"/>
      <c r="AD105" s="46"/>
      <c r="AE105" s="46"/>
    </row>
    <row r="106" spans="1:31" x14ac:dyDescent="0.2">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c r="AA106" s="46"/>
      <c r="AB106" s="46"/>
      <c r="AC106" s="46"/>
      <c r="AD106" s="46"/>
      <c r="AE106" s="46"/>
    </row>
    <row r="107" spans="1:31" x14ac:dyDescent="0.2">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c r="AA107" s="46"/>
      <c r="AB107" s="46"/>
      <c r="AC107" s="46"/>
      <c r="AD107" s="46"/>
      <c r="AE107" s="46"/>
    </row>
    <row r="108" spans="1:31" x14ac:dyDescent="0.2">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c r="AA108" s="46"/>
      <c r="AB108" s="46"/>
      <c r="AC108" s="46"/>
      <c r="AD108" s="46"/>
      <c r="AE108" s="46"/>
    </row>
    <row r="109" spans="1:31" x14ac:dyDescent="0.2">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c r="AA109" s="46"/>
      <c r="AB109" s="46"/>
      <c r="AC109" s="46"/>
      <c r="AD109" s="46"/>
      <c r="AE109" s="46"/>
    </row>
    <row r="110" spans="1:31" x14ac:dyDescent="0.2">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c r="AA110" s="46"/>
      <c r="AB110" s="46"/>
      <c r="AC110" s="46"/>
      <c r="AD110" s="46"/>
      <c r="AE110" s="46"/>
    </row>
    <row r="111" spans="1:31" x14ac:dyDescent="0.2">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c r="AA111" s="46"/>
      <c r="AB111" s="46"/>
      <c r="AC111" s="46"/>
      <c r="AD111" s="46"/>
      <c r="AE111" s="46"/>
    </row>
    <row r="112" spans="1:31" x14ac:dyDescent="0.2">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c r="AA112" s="46"/>
      <c r="AB112" s="46"/>
      <c r="AC112" s="46"/>
      <c r="AD112" s="46"/>
      <c r="AE112" s="46"/>
    </row>
    <row r="113" spans="1:31" x14ac:dyDescent="0.2">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c r="AA113" s="46"/>
      <c r="AB113" s="46"/>
      <c r="AC113" s="46"/>
      <c r="AD113" s="46"/>
      <c r="AE113" s="46"/>
    </row>
    <row r="114" spans="1:31" x14ac:dyDescent="0.2">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c r="AA114" s="46"/>
      <c r="AB114" s="46"/>
      <c r="AC114" s="46"/>
      <c r="AD114" s="46"/>
      <c r="AE114" s="46"/>
    </row>
    <row r="115" spans="1:31" x14ac:dyDescent="0.2">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c r="AA115" s="46"/>
      <c r="AB115" s="46"/>
      <c r="AC115" s="46"/>
      <c r="AD115" s="46"/>
      <c r="AE115" s="46"/>
    </row>
    <row r="116" spans="1:31" x14ac:dyDescent="0.2">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c r="AA116" s="46"/>
      <c r="AB116" s="46"/>
      <c r="AC116" s="46"/>
      <c r="AD116" s="46"/>
      <c r="AE116" s="46"/>
    </row>
    <row r="117" spans="1:31" x14ac:dyDescent="0.2">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c r="AA117" s="46"/>
      <c r="AB117" s="46"/>
      <c r="AC117" s="46"/>
      <c r="AD117" s="46"/>
      <c r="AE117" s="46"/>
    </row>
    <row r="118" spans="1:31" x14ac:dyDescent="0.2">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c r="AA118" s="46"/>
      <c r="AB118" s="46"/>
      <c r="AC118" s="46"/>
      <c r="AD118" s="46"/>
      <c r="AE118" s="46"/>
    </row>
    <row r="119" spans="1:31" x14ac:dyDescent="0.2">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c r="AA119" s="46"/>
      <c r="AB119" s="46"/>
      <c r="AC119" s="46"/>
      <c r="AD119" s="46"/>
      <c r="AE119" s="46"/>
    </row>
    <row r="120" spans="1:31" x14ac:dyDescent="0.2">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c r="AA120" s="46"/>
      <c r="AB120" s="46"/>
      <c r="AC120" s="46"/>
      <c r="AD120" s="46"/>
      <c r="AE120" s="46"/>
    </row>
    <row r="121" spans="1:31" x14ac:dyDescent="0.2">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c r="AA121" s="46"/>
      <c r="AB121" s="46"/>
      <c r="AC121" s="46"/>
      <c r="AD121" s="46"/>
      <c r="AE121" s="46"/>
    </row>
    <row r="122" spans="1:31" x14ac:dyDescent="0.2">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c r="AA122" s="46"/>
      <c r="AB122" s="46"/>
      <c r="AC122" s="46"/>
      <c r="AD122" s="46"/>
      <c r="AE122" s="46"/>
    </row>
    <row r="123" spans="1:31" x14ac:dyDescent="0.2">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c r="AA123" s="46"/>
      <c r="AB123" s="46"/>
      <c r="AC123" s="46"/>
      <c r="AD123" s="46"/>
      <c r="AE123" s="46"/>
    </row>
    <row r="124" spans="1:31" x14ac:dyDescent="0.2">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c r="AA124" s="46"/>
      <c r="AB124" s="46"/>
      <c r="AC124" s="46"/>
      <c r="AD124" s="46"/>
      <c r="AE124" s="46"/>
    </row>
    <row r="125" spans="1:31" x14ac:dyDescent="0.2">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c r="AA125" s="46"/>
      <c r="AB125" s="46"/>
      <c r="AC125" s="46"/>
      <c r="AD125" s="46"/>
      <c r="AE125" s="46"/>
    </row>
    <row r="126" spans="1:31" x14ac:dyDescent="0.2">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c r="AA126" s="46"/>
      <c r="AB126" s="46"/>
      <c r="AC126" s="46"/>
      <c r="AD126" s="46"/>
      <c r="AE126" s="46"/>
    </row>
    <row r="127" spans="1:31" x14ac:dyDescent="0.2">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c r="AA127" s="46"/>
      <c r="AB127" s="46"/>
      <c r="AC127" s="46"/>
      <c r="AD127" s="46"/>
      <c r="AE127" s="46"/>
    </row>
    <row r="128" spans="1:31" x14ac:dyDescent="0.2">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c r="AA128" s="46"/>
      <c r="AB128" s="46"/>
      <c r="AC128" s="46"/>
      <c r="AD128" s="46"/>
      <c r="AE128" s="46"/>
    </row>
    <row r="129" spans="1:31" x14ac:dyDescent="0.2">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c r="AA129" s="46"/>
      <c r="AB129" s="46"/>
      <c r="AC129" s="46"/>
      <c r="AD129" s="46"/>
      <c r="AE129" s="46"/>
    </row>
    <row r="130" spans="1:31" x14ac:dyDescent="0.2">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c r="AA130" s="46"/>
      <c r="AB130" s="46"/>
      <c r="AC130" s="46"/>
      <c r="AD130" s="46"/>
      <c r="AE130" s="46"/>
    </row>
    <row r="131" spans="1:31" x14ac:dyDescent="0.2">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c r="AA131" s="46"/>
      <c r="AB131" s="46"/>
      <c r="AC131" s="46"/>
      <c r="AD131" s="46"/>
      <c r="AE131" s="46"/>
    </row>
    <row r="132" spans="1:31" x14ac:dyDescent="0.2">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c r="AA132" s="46"/>
      <c r="AB132" s="46"/>
      <c r="AC132" s="46"/>
      <c r="AD132" s="46"/>
      <c r="AE132" s="46"/>
    </row>
    <row r="133" spans="1:31" x14ac:dyDescent="0.2">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c r="AA133" s="46"/>
      <c r="AB133" s="46"/>
      <c r="AC133" s="46"/>
      <c r="AD133" s="46"/>
      <c r="AE133" s="46"/>
    </row>
    <row r="134" spans="1:31" x14ac:dyDescent="0.2">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c r="AA134" s="46"/>
      <c r="AB134" s="46"/>
      <c r="AC134" s="46"/>
      <c r="AD134" s="46"/>
      <c r="AE134" s="46"/>
    </row>
    <row r="135" spans="1:31" x14ac:dyDescent="0.2">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c r="AA135" s="46"/>
      <c r="AB135" s="46"/>
      <c r="AC135" s="46"/>
      <c r="AD135" s="46"/>
      <c r="AE135" s="46"/>
    </row>
    <row r="136" spans="1:31" x14ac:dyDescent="0.2">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c r="AA136" s="46"/>
      <c r="AB136" s="46"/>
      <c r="AC136" s="46"/>
      <c r="AD136" s="46"/>
      <c r="AE136" s="46"/>
    </row>
    <row r="137" spans="1:31" x14ac:dyDescent="0.2">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c r="AA137" s="46"/>
      <c r="AB137" s="46"/>
      <c r="AC137" s="46"/>
      <c r="AD137" s="46"/>
      <c r="AE137" s="46"/>
    </row>
    <row r="138" spans="1:31" x14ac:dyDescent="0.2">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c r="AA138" s="46"/>
      <c r="AB138" s="46"/>
      <c r="AC138" s="46"/>
      <c r="AD138" s="46"/>
      <c r="AE138" s="46"/>
    </row>
    <row r="139" spans="1:31" x14ac:dyDescent="0.2">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c r="AA139" s="46"/>
      <c r="AB139" s="46"/>
      <c r="AC139" s="46"/>
      <c r="AD139" s="46"/>
      <c r="AE139" s="46"/>
    </row>
    <row r="140" spans="1:31" x14ac:dyDescent="0.2">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c r="AA140" s="46"/>
      <c r="AB140" s="46"/>
      <c r="AC140" s="46"/>
      <c r="AD140" s="46"/>
      <c r="AE140" s="46"/>
    </row>
    <row r="141" spans="1:31" x14ac:dyDescent="0.2">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c r="AA141" s="46"/>
      <c r="AB141" s="46"/>
      <c r="AC141" s="46"/>
      <c r="AD141" s="46"/>
      <c r="AE141" s="46"/>
    </row>
    <row r="142" spans="1:31" x14ac:dyDescent="0.2">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c r="AA142" s="46"/>
      <c r="AB142" s="46"/>
      <c r="AC142" s="46"/>
      <c r="AD142" s="46"/>
      <c r="AE142" s="46"/>
    </row>
    <row r="143" spans="1:31" x14ac:dyDescent="0.2">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c r="AA143" s="46"/>
      <c r="AB143" s="46"/>
      <c r="AC143" s="46"/>
      <c r="AD143" s="46"/>
      <c r="AE143" s="46"/>
    </row>
    <row r="144" spans="1:31" x14ac:dyDescent="0.2">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c r="AA144" s="46"/>
      <c r="AB144" s="46"/>
      <c r="AC144" s="46"/>
      <c r="AD144" s="46"/>
      <c r="AE144" s="46"/>
    </row>
    <row r="145" spans="1:31" x14ac:dyDescent="0.2">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c r="AA145" s="46"/>
      <c r="AB145" s="46"/>
      <c r="AC145" s="46"/>
      <c r="AD145" s="46"/>
      <c r="AE145" s="46"/>
    </row>
    <row r="146" spans="1:31" x14ac:dyDescent="0.2">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c r="AA146" s="46"/>
      <c r="AB146" s="46"/>
      <c r="AC146" s="46"/>
      <c r="AD146" s="46"/>
      <c r="AE146" s="46"/>
    </row>
    <row r="147" spans="1:31" x14ac:dyDescent="0.2">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c r="AA147" s="46"/>
      <c r="AB147" s="46"/>
      <c r="AC147" s="46"/>
      <c r="AD147" s="46"/>
      <c r="AE147" s="46"/>
    </row>
    <row r="148" spans="1:31" x14ac:dyDescent="0.2">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c r="AA148" s="46"/>
      <c r="AB148" s="46"/>
      <c r="AC148" s="46"/>
      <c r="AD148" s="46"/>
      <c r="AE148" s="46"/>
    </row>
  </sheetData>
  <conditionalFormatting sqref="S20:W36">
    <cfRule type="dataBar" priority="2">
      <dataBar>
        <cfvo type="num" val="0"/>
        <cfvo type="formula" val="MAX($R$20:$V$38)*3"/>
        <color theme="1" tint="0.34998626667073579"/>
      </dataBar>
      <extLst>
        <ext xmlns:x14="http://schemas.microsoft.com/office/spreadsheetml/2009/9/main" uri="{B025F937-C7B1-47D3-B67F-A62EFF666E3E}">
          <x14:id>{05033655-5670-4761-8C31-22B61C336238}</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05033655-5670-4761-8C31-22B61C336238}">
            <x14:dataBar minLength="0" maxLength="100" gradient="0">
              <x14:cfvo type="num">
                <xm:f>0</xm:f>
              </x14:cfvo>
              <x14:cfvo type="formula">
                <xm:f>MAX($R$20:$V$38)*3</xm:f>
              </x14:cfvo>
              <x14:negativeFillColor rgb="FFFF0000"/>
              <x14:axisColor rgb="FF000000"/>
            </x14:dataBar>
          </x14:cfRule>
          <xm:sqref>S20:W36</xm:sqref>
        </x14:conditionalFormatting>
        <x14:conditionalFormatting xmlns:xm="http://schemas.microsoft.com/office/excel/2006/main">
          <x14:cfRule type="expression" priority="3" id="{79B4DF0C-33B1-4415-A6FC-5361F6889784}">
            <xm:f>S$18=Pivot!$A$52</xm:f>
            <x14:dxf>
              <fill>
                <patternFill>
                  <bgColor theme="8" tint="0.59996337778862885"/>
                </patternFill>
              </fill>
              <border>
                <left style="thin">
                  <color theme="1" tint="0.34998626667073579"/>
                </left>
                <right style="thin">
                  <color theme="1" tint="0.34998626667073579"/>
                </right>
                <vertical/>
                <horizontal/>
              </border>
            </x14:dxf>
          </x14:cfRule>
          <xm:sqref>S18:W36</xm:sqref>
        </x14:conditionalFormatting>
      </x14:conditionalFormattings>
    </ex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topLeftCell="A2" zoomScale="115" zoomScaleNormal="115" workbookViewId="0">
      <selection activeCell="E10" sqref="E10"/>
    </sheetView>
  </sheetViews>
  <sheetFormatPr defaultRowHeight="14.25" x14ac:dyDescent="0.2"/>
  <cols>
    <col min="5" max="5" width="10.875" customWidth="1"/>
    <col min="6" max="6" width="9.875" customWidth="1"/>
  </cols>
  <sheetData>
    <row r="2" spans="5:6" x14ac:dyDescent="0.2">
      <c r="E2" t="s">
        <v>1040</v>
      </c>
      <c r="F2" t="s">
        <v>1041</v>
      </c>
    </row>
    <row r="3" spans="5:6" ht="25.5" customHeight="1" x14ac:dyDescent="0.2">
      <c r="E3" t="s">
        <v>11</v>
      </c>
      <c r="F3" t="e" vm="1">
        <v>#VALUE!</v>
      </c>
    </row>
    <row r="4" spans="5:6" ht="25.5" customHeight="1" x14ac:dyDescent="0.2">
      <c r="E4" t="s">
        <v>9</v>
      </c>
      <c r="F4" t="e" vm="2">
        <v>#VALUE!</v>
      </c>
    </row>
    <row r="5" spans="5:6" ht="25.5" customHeight="1" x14ac:dyDescent="0.2">
      <c r="E5" t="s">
        <v>6</v>
      </c>
      <c r="F5" t="e" vm="3">
        <v>#VALUE!</v>
      </c>
    </row>
    <row r="6" spans="5:6" ht="25.5" customHeight="1" x14ac:dyDescent="0.2">
      <c r="E6" t="s">
        <v>13</v>
      </c>
      <c r="F6" t="e" vm="4">
        <v>#VALUE!</v>
      </c>
    </row>
    <row r="7" spans="5:6" ht="25.5" customHeight="1" x14ac:dyDescent="0.2">
      <c r="E7" t="s">
        <v>10</v>
      </c>
      <c r="F7" t="e" vm="5">
        <v>#VALUE!</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vt:lpstr>
      <vt:lpstr>Data</vt:lpstr>
      <vt:lpstr>Call Centre Report</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Thejaswini Shetty</cp:lastModifiedBy>
  <dcterms:created xsi:type="dcterms:W3CDTF">2021-03-14T20:21:32Z</dcterms:created>
  <dcterms:modified xsi:type="dcterms:W3CDTF">2025-03-12T17:11:47Z</dcterms:modified>
</cp:coreProperties>
</file>